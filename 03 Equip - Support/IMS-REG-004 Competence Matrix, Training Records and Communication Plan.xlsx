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mpetence Matrix" sheetId="2" state="visible" r:id="rId2"/>
    <sheet xmlns:r="http://schemas.openxmlformats.org/officeDocument/2006/relationships" name="Training Catalogue" sheetId="3" state="visible" r:id="rId3"/>
    <sheet xmlns:r="http://schemas.openxmlformats.org/officeDocument/2006/relationships" name="Training Records" sheetId="4" state="visible" r:id="rId4"/>
    <sheet xmlns:r="http://schemas.openxmlformats.org/officeDocument/2006/relationships" name="Awareness Campaign" sheetId="5" state="visible" r:id="rId5"/>
    <sheet xmlns:r="http://schemas.openxmlformats.org/officeDocument/2006/relationships" name="Communication Plan" sheetId="6" state="visible" r:id="rId6"/>
  </sheets>
  <definedNames>
    <definedName name="_xlnm._FilterDatabase" localSheetId="1" hidden="1">'Competence Matrix'!$A$4:$K$49</definedName>
    <definedName name="_xlnm.Print_Titles" localSheetId="1">'Competence Matrix'!$4:$4</definedName>
    <definedName name="_xlnm._FilterDatabase" localSheetId="2" hidden="1">'Training Catalogue'!$A$4:$J$44</definedName>
    <definedName name="_xlnm.Print_Titles" localSheetId="2">'Training Catalogue'!$4:$4</definedName>
    <definedName name="_xlnm._FilterDatabase" localSheetId="3" hidden="1">'Training Records'!$A$4:$L$47</definedName>
    <definedName name="_xlnm.Print_Titles" localSheetId="3">'Training Records'!$4:$4</definedName>
    <definedName name="_xlnm._FilterDatabase" localSheetId="4" hidden="1">'Awareness Campaign'!$A$4:$H$44</definedName>
    <definedName name="_xlnm.Print_Titles" localSheetId="4">'Awareness Campaign'!$4:$4</definedName>
    <definedName name="_xlnm._FilterDatabase" localSheetId="5" hidden="1">'Communication Plan'!$A$4:$L$48</definedName>
    <definedName name="_xlnm.Print_Titles" localSheetId="5">'Communication Plan'!$4:$4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Competence Matrix, Training Records and Communication Plan</t>
        </is>
      </c>
    </row>
    <row r="3" ht="48" customHeight="1">
      <c r="A3" s="3" t="inlineStr">
        <is>
          <t>The evidence behind Quillfen Studio's competence, awareness and communication process: who needs which skills, what training exists, who completed it and when, the monthly awareness campaign, and the plan for what we tell whom about security and AI.</t>
        </is>
      </c>
    </row>
    <row r="5">
      <c r="A5" s="4" t="inlineStr">
        <is>
          <t>Document ID</t>
        </is>
      </c>
      <c r="B5" s="5" t="inlineStr">
        <is>
          <t>IMS-REG-004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[People and Operations Lead]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03 Equip - Support</t>
        </is>
      </c>
    </row>
    <row r="14">
      <c r="A14" s="4" t="inlineStr">
        <is>
          <t>ISO/IEC 27001:2022</t>
        </is>
      </c>
      <c r="B14" s="5" t="inlineStr">
        <is>
          <t>7.2, 7.3, 7.4; Annex A 5.5, 5.6, 6.3</t>
        </is>
      </c>
    </row>
    <row r="15">
      <c r="A15" s="4" t="inlineStr">
        <is>
          <t>ISO/IEC 42001:2023</t>
        </is>
      </c>
      <c r="B15" s="5" t="inlineStr">
        <is>
          <t>7.2, 7.3, 7.4; Annex A.4.6, A.8.2–A.8.5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15" customHeight="1">
      <c r="A21" t="inlineStr">
        <is>
          <t>•</t>
        </is>
      </c>
      <c r="B21" s="3" t="inlineStr">
        <is>
          <t>Procedure: IMS-PRO-003 Competence, Awareness and Communication Procedure.</t>
        </is>
      </c>
    </row>
    <row r="22" ht="30" customHeight="1">
      <c r="A22" t="inlineStr">
        <is>
          <t>•</t>
        </is>
      </c>
      <c r="B22" s="3" t="inlineStr">
        <is>
          <t>Competence Matrix: Gap and Status calculate from Required and Current level (0–4). Any 'Not met' row needs an action and a due date.</t>
        </is>
      </c>
    </row>
    <row r="23" ht="30" customHeight="1">
      <c r="A23" t="inlineStr">
        <is>
          <t>•</t>
        </is>
      </c>
      <c r="B23" s="3" t="inlineStr">
        <is>
          <t>Training Records: enter the start date and the number of days allowed; Due and Status calculate. 'Overdue' rows go to the Trust Council every month. Never back-date or delete a late record.</t>
        </is>
      </c>
    </row>
    <row r="25">
      <c r="A25" s="6" t="inlineStr">
        <is>
          <t>Sheets</t>
        </is>
      </c>
    </row>
    <row r="26" ht="105" customHeight="1">
      <c r="A26" s="7" t="inlineStr">
        <is>
          <t>Competence Matrix</t>
        </is>
      </c>
      <c r="B26" s="3" t="inlineStr">
        <is>
          <t>One row per person (or role group) and competence area. Levels: 0 not needed, 1 aware, 2 practitioner, 3 advanced, 4 expert. Areas: C-01 Information-security basics and policies; C-02 AI literacy (EU AI Act Art. 4); C-03 Secure development and AI application security; C-04 AI/ML engineering and evaluation (incl. fairness testing); C-05 Data governance, privacy and creative rights; C-06 AI risk and impact assessment; C-07 Cloud and identity security; C-08 Incident response (security and AI); C-09 Content safety and moderation; C-10 Supplier and AI vendor management; C-11 Management systems and internal audit (27001 / 42001).</t>
        </is>
      </c>
    </row>
    <row r="27" ht="15" customHeight="1">
      <c r="A27" s="7" t="inlineStr">
        <is>
          <t>Training Catalogue</t>
        </is>
      </c>
      <c r="B27" s="3" t="inlineStr">
        <is>
          <t>Every course we run or buy, who must take it, and how often it must be refreshed.</t>
        </is>
      </c>
    </row>
    <row r="28" ht="30" customHeight="1">
      <c r="A28" s="7" t="inlineStr">
        <is>
          <t>Training Records</t>
        </is>
      </c>
      <c r="B28" s="3" t="inlineStr">
        <is>
          <t>One row per person per course. Days allowed: 30 for onboarding essentials, 60 for role training, 365 for yearly refreshers. Status: Done, Done late, Open or Overdue.</t>
        </is>
      </c>
    </row>
    <row r="29" ht="15" customHeight="1">
      <c r="A29" s="7" t="inlineStr">
        <is>
          <t>Awareness Campaign</t>
        </is>
      </c>
      <c r="B29" s="3" t="inlineStr">
        <is>
          <t>Topics follow real risks and objectives. Keep each message to one sentence people can repeat.</t>
        </is>
      </c>
    </row>
    <row r="30" ht="30" customHeight="1">
      <c r="A30" s="7" t="inlineStr">
        <is>
          <t>Communication Plan</t>
        </is>
      </c>
      <c r="B30" s="3" t="inlineStr">
        <is>
          <t>Internal and external communication for both standards, including AI-specific information for users and interested parties (ISO/IEC 42001 A.8.2–A.8.5).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10" customWidth="1" min="4" max="4"/>
    <col width="10" customWidth="1" min="5" max="5"/>
    <col width="7" customWidth="1" min="6" max="6"/>
    <col width="11" customWidth="1" min="7" max="7"/>
    <col width="34" customWidth="1" min="8" max="8"/>
    <col width="34" customWidth="1" min="9" max="9"/>
    <col width="12" customWidth="1" min="10" max="10"/>
    <col width="13" customWidth="1" min="11" max="11"/>
  </cols>
  <sheetData>
    <row r="1">
      <c r="A1" s="8" t="inlineStr">
        <is>
          <t>Competence matrix — required vs current level</t>
        </is>
      </c>
    </row>
    <row r="2" ht="75" customHeight="1">
      <c r="A2" s="3" t="inlineStr">
        <is>
          <t>One row per person (or role group) and competence area. Levels: 0 not needed, 1 aware, 2 practitioner, 3 advanced, 4 expert. Areas: C-01 Information-security basics and policies; C-02 AI literacy (EU AI Act Art. 4); C-03 Secure development and AI application security; C-04 AI/ML engineering and evaluation (incl. fairness testing); C-05 Data governance, privacy and creative rights; C-06 AI risk and impact assessment; C-07 Cloud and identity security; C-08 Incident response (security and AI); C-09 Content safety and moderation; C-10 Supplier and AI vendor management; C-11 Management systems and internal audit (27001 / 42001).</t>
        </is>
      </c>
    </row>
    <row r="4" ht="32" customHeight="1">
      <c r="A4" s="9" t="inlineStr">
        <is>
          <t>Person / role group</t>
        </is>
      </c>
      <c r="B4" s="9" t="inlineStr">
        <is>
          <t>Role</t>
        </is>
      </c>
      <c r="C4" s="9" t="inlineStr">
        <is>
          <t>Competence area</t>
        </is>
      </c>
      <c r="D4" s="9" t="inlineStr">
        <is>
          <t>Required level</t>
        </is>
      </c>
      <c r="E4" s="9" t="inlineStr">
        <is>
          <t>Current level</t>
        </is>
      </c>
      <c r="F4" s="9" t="inlineStr">
        <is>
          <t>Gap</t>
        </is>
      </c>
      <c r="G4" s="9" t="inlineStr">
        <is>
          <t>Status</t>
        </is>
      </c>
      <c r="H4" s="9" t="inlineStr">
        <is>
          <t>Evidence</t>
        </is>
      </c>
      <c r="I4" s="9" t="inlineStr">
        <is>
          <t>Action to close gap</t>
        </is>
      </c>
      <c r="J4" s="9" t="inlineStr">
        <is>
          <t>Due</t>
        </is>
      </c>
      <c r="K4" s="9" t="inlineStr">
        <is>
          <t>Last reviewed</t>
        </is>
      </c>
    </row>
    <row r="5">
      <c r="A5" s="5" t="inlineStr">
        <is>
          <t>[Head of AI]</t>
        </is>
      </c>
      <c r="B5" s="5" t="inlineStr">
        <is>
          <t>Head of AI</t>
        </is>
      </c>
      <c r="C5" s="5" t="inlineStr">
        <is>
          <t>C-06 AI risk and impact assessment</t>
        </is>
      </c>
      <c r="D5" s="5" t="n">
        <v>4</v>
      </c>
      <c r="E5" s="5" t="n">
        <v>4</v>
      </c>
      <c r="F5" s="5">
        <f>IF(AND(ISNUMBER(D5),ISNUMBER(E5)),MAX(0,D5-E5),"")</f>
        <v/>
      </c>
      <c r="G5" s="5">
        <f>IF(F5="","",IF(F5=0,"Met",IF(F5=1,"Partial","Not met")))</f>
        <v/>
      </c>
      <c r="H5" s="5" t="inlineStr">
        <is>
          <t>MSc ML; led 3 AIIAs; ISO/IEC 42001 LI course</t>
        </is>
      </c>
      <c r="I5" s="5" t="inlineStr">
        <is>
          <t>—</t>
        </is>
      </c>
      <c r="J5" s="5" t="inlineStr"/>
      <c r="K5" s="10" t="n">
        <v>46296</v>
      </c>
    </row>
    <row r="6">
      <c r="A6" s="5" t="inlineStr">
        <is>
          <t>[Head of AI]</t>
        </is>
      </c>
      <c r="B6" s="5" t="inlineStr">
        <is>
          <t>Head of AI</t>
        </is>
      </c>
      <c r="C6" s="5" t="inlineStr">
        <is>
          <t>C-11 Management systems and internal audit (27001 / 42001)</t>
        </is>
      </c>
      <c r="D6" s="5" t="n">
        <v>3</v>
      </c>
      <c r="E6" s="5" t="n">
        <v>2</v>
      </c>
      <c r="F6" s="5">
        <f>IF(AND(ISNUMBER(D6),ISNUMBER(E6)),MAX(0,D6-E6),"")</f>
        <v/>
      </c>
      <c r="G6" s="5">
        <f>IF(F6="","",IF(F6=0,"Met",IF(F6=1,"Partial","Not met")))</f>
        <v/>
      </c>
      <c r="H6" s="5" t="inlineStr">
        <is>
          <t>42001 lead implementer course</t>
        </is>
      </c>
      <c r="I6" s="5" t="inlineStr">
        <is>
          <t>TRN-09 internal auditor course</t>
        </is>
      </c>
      <c r="J6" s="10" t="n">
        <v>46418</v>
      </c>
      <c r="K6" s="10" t="n">
        <v>46296</v>
      </c>
    </row>
    <row r="7">
      <c r="A7" s="5" t="inlineStr">
        <is>
          <t>[Security Lead]</t>
        </is>
      </c>
      <c r="B7" s="5" t="inlineStr">
        <is>
          <t>Security Lead</t>
        </is>
      </c>
      <c r="C7" s="5" t="inlineStr">
        <is>
          <t>C-07 Cloud and identity security</t>
        </is>
      </c>
      <c r="D7" s="5" t="n">
        <v>4</v>
      </c>
      <c r="E7" s="5" t="n">
        <v>3</v>
      </c>
      <c r="F7" s="5">
        <f>IF(AND(ISNUMBER(D7),ISNUMBER(E7)),MAX(0,D7-E7),"")</f>
        <v/>
      </c>
      <c r="G7" s="5">
        <f>IF(F7="","",IF(F7=0,"Met",IF(F7=1,"Partial","Not met")))</f>
        <v/>
      </c>
      <c r="H7" s="5" t="inlineStr">
        <is>
          <t>Cloud security certification</t>
        </is>
      </c>
      <c r="I7" s="5" t="inlineStr">
        <is>
          <t>AWS security specialty exam</t>
        </is>
      </c>
      <c r="J7" s="10" t="n">
        <v>46477</v>
      </c>
      <c r="K7" s="10" t="n">
        <v>46296</v>
      </c>
    </row>
    <row r="8">
      <c r="A8" s="5" t="inlineStr">
        <is>
          <t>[Security Lead]</t>
        </is>
      </c>
      <c r="B8" s="5" t="inlineStr">
        <is>
          <t>Security Lead</t>
        </is>
      </c>
      <c r="C8" s="5" t="inlineStr">
        <is>
          <t>C-02 AI literacy (EU AI Act Art. 4)</t>
        </is>
      </c>
      <c r="D8" s="5" t="n">
        <v>2</v>
      </c>
      <c r="E8" s="5" t="n">
        <v>2</v>
      </c>
      <c r="F8" s="5">
        <f>IF(AND(ISNUMBER(D8),ISNUMBER(E8)),MAX(0,D8-E8),"")</f>
        <v/>
      </c>
      <c r="G8" s="5">
        <f>IF(F8="","",IF(F8=0,"Met",IF(F8=1,"Partial","Not met")))</f>
        <v/>
      </c>
      <c r="H8" s="5" t="inlineStr">
        <is>
          <t>TRN-01 + TRN-03 completed</t>
        </is>
      </c>
      <c r="I8" s="5" t="inlineStr">
        <is>
          <t>—</t>
        </is>
      </c>
      <c r="J8" s="5" t="inlineStr"/>
      <c r="K8" s="10" t="n">
        <v>46296</v>
      </c>
    </row>
    <row r="9">
      <c r="A9" s="5" t="inlineStr">
        <is>
          <t>[Data and ML Lead]</t>
        </is>
      </c>
      <c r="B9" s="5" t="inlineStr">
        <is>
          <t>Data and ML Lead</t>
        </is>
      </c>
      <c r="C9" s="5" t="inlineStr">
        <is>
          <t>C-04 AI/ML engineering and evaluation (incl. fairness testing)</t>
        </is>
      </c>
      <c r="D9" s="5" t="n">
        <v>4</v>
      </c>
      <c r="E9" s="5" t="n">
        <v>4</v>
      </c>
      <c r="F9" s="5">
        <f>IF(AND(ISNUMBER(D9),ISNUMBER(E9)),MAX(0,D9-E9),"")</f>
        <v/>
      </c>
      <c r="G9" s="5">
        <f>IF(F9="","",IF(F9=0,"Met",IF(F9=1,"Partial","Not met")))</f>
        <v/>
      </c>
      <c r="H9" s="5" t="inlineStr">
        <is>
          <t>8 yrs ML; built ArtistMatch</t>
        </is>
      </c>
      <c r="I9" s="5" t="inlineStr">
        <is>
          <t>—</t>
        </is>
      </c>
      <c r="J9" s="5" t="inlineStr"/>
      <c r="K9" s="10" t="n">
        <v>46296</v>
      </c>
    </row>
    <row r="10">
      <c r="A10" s="5" t="inlineStr">
        <is>
          <t>[Data and ML Lead]</t>
        </is>
      </c>
      <c r="B10" s="5" t="inlineStr">
        <is>
          <t>Data and ML Lead</t>
        </is>
      </c>
      <c r="C10" s="5" t="inlineStr">
        <is>
          <t>C-05 Data governance, privacy and creative rights</t>
        </is>
      </c>
      <c r="D10" s="5" t="n">
        <v>3</v>
      </c>
      <c r="E10" s="5" t="n">
        <v>2</v>
      </c>
      <c r="F10" s="5">
        <f>IF(AND(ISNUMBER(D10),ISNUMBER(E10)),MAX(0,D10-E10),"")</f>
        <v/>
      </c>
      <c r="G10" s="5">
        <f>IF(F10="","",IF(F10=0,"Met",IF(F10=1,"Partial","Not met")))</f>
        <v/>
      </c>
      <c r="H10" s="5" t="inlineStr">
        <is>
          <t>TRN-03 completed</t>
        </is>
      </c>
      <c r="I10" s="5" t="inlineStr">
        <is>
          <t>Copyright &amp; TDM opt-out briefing with external counsel</t>
        </is>
      </c>
      <c r="J10" s="10" t="n">
        <v>46371</v>
      </c>
      <c r="K10" s="10" t="n">
        <v>46296</v>
      </c>
    </row>
    <row r="11">
      <c r="A11" s="5" t="inlineStr">
        <is>
          <t>[CTO]</t>
        </is>
      </c>
      <c r="B11" s="5" t="inlineStr">
        <is>
          <t>CTO</t>
        </is>
      </c>
      <c r="C11" s="5" t="inlineStr">
        <is>
          <t>C-03 Secure development and AI application security</t>
        </is>
      </c>
      <c r="D11" s="5" t="n">
        <v>3</v>
      </c>
      <c r="E11" s="5" t="n">
        <v>3</v>
      </c>
      <c r="F11" s="5">
        <f>IF(AND(ISNUMBER(D11),ISNUMBER(E11)),MAX(0,D11-E11),"")</f>
        <v/>
      </c>
      <c r="G11" s="5">
        <f>IF(F11="","",IF(F11=0,"Met",IF(F11=1,"Partial","Not met")))</f>
        <v/>
      </c>
      <c r="H11" s="5" t="inlineStr">
        <is>
          <t>Code review lead; TRN-02</t>
        </is>
      </c>
      <c r="I11" s="5" t="inlineStr">
        <is>
          <t>—</t>
        </is>
      </c>
      <c r="J11" s="5" t="inlineStr"/>
      <c r="K11" s="10" t="n">
        <v>46296</v>
      </c>
    </row>
    <row r="12">
      <c r="A12" s="5" t="inlineStr">
        <is>
          <t>[Creative Director]</t>
        </is>
      </c>
      <c r="B12" s="5" t="inlineStr">
        <is>
          <t>Creative Director</t>
        </is>
      </c>
      <c r="C12" s="5" t="inlineStr">
        <is>
          <t>C-09 Content safety and moderation</t>
        </is>
      </c>
      <c r="D12" s="5" t="n">
        <v>4</v>
      </c>
      <c r="E12" s="5" t="n">
        <v>3</v>
      </c>
      <c r="F12" s="5">
        <f>IF(AND(ISNUMBER(D12),ISNUMBER(E12)),MAX(0,D12-E12),"")</f>
        <v/>
      </c>
      <c r="G12" s="5">
        <f>IF(F12="","",IF(F12=0,"Met",IF(F12=1,"Partial","Not met")))</f>
        <v/>
      </c>
      <c r="H12" s="5" t="inlineStr">
        <is>
          <t>Runs reviewer calibration</t>
        </is>
      </c>
      <c r="I12" s="5" t="inlineStr">
        <is>
          <t>Trust &amp; safety practitioner course</t>
        </is>
      </c>
      <c r="J12" s="10" t="n">
        <v>46446</v>
      </c>
      <c r="K12" s="10" t="n">
        <v>46296</v>
      </c>
    </row>
    <row r="13">
      <c r="A13" s="5" t="inlineStr">
        <is>
          <t>[Privacy and Legal Lead]</t>
        </is>
      </c>
      <c r="B13" s="5" t="inlineStr">
        <is>
          <t>Privacy and Legal Lead</t>
        </is>
      </c>
      <c r="C13" s="5" t="inlineStr">
        <is>
          <t>C-10 Supplier and AI vendor management</t>
        </is>
      </c>
      <c r="D13" s="5" t="n">
        <v>3</v>
      </c>
      <c r="E13" s="5" t="n">
        <v>3</v>
      </c>
      <c r="F13" s="5">
        <f>IF(AND(ISNUMBER(D13),ISNUMBER(E13)),MAX(0,D13-E13),"")</f>
        <v/>
      </c>
      <c r="G13" s="5">
        <f>IF(F13="","",IF(F13=0,"Met",IF(F13=1,"Partial","Not met")))</f>
        <v/>
      </c>
      <c r="H13" s="5" t="inlineStr">
        <is>
          <t>Negotiated 6 AI supplier DPAs</t>
        </is>
      </c>
      <c r="I13" s="5" t="inlineStr">
        <is>
          <t>—</t>
        </is>
      </c>
      <c r="J13" s="5" t="inlineStr"/>
      <c r="K13" s="10" t="n">
        <v>46296</v>
      </c>
    </row>
    <row r="14">
      <c r="A14" s="5" t="inlineStr">
        <is>
          <t>[Platform Engineer]</t>
        </is>
      </c>
      <c r="B14" s="5" t="inlineStr">
        <is>
          <t>Platform Engineer (SRE)</t>
        </is>
      </c>
      <c r="C14" s="5" t="inlineStr">
        <is>
          <t>C-08 Incident response (security and AI)</t>
        </is>
      </c>
      <c r="D14" s="5" t="n">
        <v>3</v>
      </c>
      <c r="E14" s="5" t="n">
        <v>2</v>
      </c>
      <c r="F14" s="5">
        <f>IF(AND(ISNUMBER(D14),ISNUMBER(E14)),MAX(0,D14-E14),"")</f>
        <v/>
      </c>
      <c r="G14" s="5">
        <f>IF(F14="","",IF(F14=0,"Met",IF(F14=1,"Partial","Not met")))</f>
        <v/>
      </c>
      <c r="H14" s="5" t="inlineStr">
        <is>
          <t>On-call since 2025</t>
        </is>
      </c>
      <c r="I14" s="5" t="inlineStr">
        <is>
          <t>TRN-06 tabletop + shadow incident commander twice</t>
        </is>
      </c>
      <c r="J14" s="10" t="n">
        <v>46387</v>
      </c>
      <c r="K14" s="10" t="n">
        <v>46296</v>
      </c>
    </row>
    <row r="15">
      <c r="A15" s="5" t="inlineStr">
        <is>
          <t>[Compliance Coordinator]</t>
        </is>
      </c>
      <c r="B15" s="5" t="inlineStr">
        <is>
          <t>Compliance Coordinator</t>
        </is>
      </c>
      <c r="C15" s="5" t="inlineStr">
        <is>
          <t>C-11 Management systems and internal audit (27001 / 42001)</t>
        </is>
      </c>
      <c r="D15" s="5" t="n">
        <v>3</v>
      </c>
      <c r="E15" s="5" t="n">
        <v>1</v>
      </c>
      <c r="F15" s="5">
        <f>IF(AND(ISNUMBER(D15),ISNUMBER(E15)),MAX(0,D15-E15),"")</f>
        <v/>
      </c>
      <c r="G15" s="5">
        <f>IF(F15="","",IF(F15=0,"Met",IF(F15=1,"Partial","Not met")))</f>
        <v/>
      </c>
      <c r="H15" s="5" t="inlineStr">
        <is>
          <t>New in role</t>
        </is>
      </c>
      <c r="I15" s="5" t="inlineStr">
        <is>
          <t>TRN-09 internal auditor course (both standards)</t>
        </is>
      </c>
      <c r="J15" s="10" t="n">
        <v>46356</v>
      </c>
      <c r="K15" s="10" t="n">
        <v>46296</v>
      </c>
    </row>
    <row r="16">
      <c r="A16" s="5" t="inlineStr">
        <is>
          <t>All staff (role group)</t>
        </is>
      </c>
      <c r="B16" s="5" t="inlineStr">
        <is>
          <t>All employees</t>
        </is>
      </c>
      <c r="C16" s="5" t="inlineStr">
        <is>
          <t>C-02 AI literacy (EU AI Act Art. 4)</t>
        </is>
      </c>
      <c r="D16" s="5" t="n">
        <v>1</v>
      </c>
      <c r="E16" s="5" t="n">
        <v>1</v>
      </c>
      <c r="F16" s="5">
        <f>IF(AND(ISNUMBER(D16),ISNUMBER(E16)),MAX(0,D16-E16),"")</f>
        <v/>
      </c>
      <c r="G16" s="5">
        <f>IF(F16="","",IF(F16=0,"Met",IF(F16=1,"Partial","Not met")))</f>
        <v/>
      </c>
      <c r="H16" s="5" t="inlineStr">
        <is>
          <t>TRN-01 quiz ≥ 80%</t>
        </is>
      </c>
      <c r="I16" s="5" t="inlineStr">
        <is>
          <t>—</t>
        </is>
      </c>
      <c r="J16" s="5" t="inlineStr"/>
      <c r="K16" s="10" t="n">
        <v>46296</v>
      </c>
    </row>
    <row r="17">
      <c r="A17" s="5" t="inlineStr">
        <is>
          <t>Engineers (role group)</t>
        </is>
      </c>
      <c r="B17" s="5" t="inlineStr">
        <is>
          <t>Software engineers</t>
        </is>
      </c>
      <c r="C17" s="5" t="inlineStr">
        <is>
          <t>C-03 Secure development and AI application security</t>
        </is>
      </c>
      <c r="D17" s="5" t="n">
        <v>2</v>
      </c>
      <c r="E17" s="5" t="n">
        <v>1</v>
      </c>
      <c r="F17" s="5">
        <f>IF(AND(ISNUMBER(D17),ISNUMBER(E17)),MAX(0,D17-E17),"")</f>
        <v/>
      </c>
      <c r="G17" s="5">
        <f>IF(F17="","",IF(F17=0,"Met",IF(F17=1,"Partial","Not met")))</f>
        <v/>
      </c>
      <c r="H17" s="5" t="inlineStr">
        <is>
          <t>4 of 11 not yet trained on prompt-injection</t>
        </is>
      </c>
      <c r="I17" s="5" t="inlineStr">
        <is>
          <t>TRN-02 module 3</t>
        </is>
      </c>
      <c r="J17" s="10" t="n">
        <v>46387</v>
      </c>
      <c r="K17" s="10" t="n">
        <v>46296</v>
      </c>
    </row>
    <row r="18">
      <c r="A18" s="5" t="inlineStr">
        <is>
          <t>Contractors (role group)</t>
        </is>
      </c>
      <c r="B18" s="5" t="inlineStr">
        <is>
          <t>Freelance contractors</t>
        </is>
      </c>
      <c r="C18" s="5" t="inlineStr">
        <is>
          <t>C-01 Information-security basics and policies</t>
        </is>
      </c>
      <c r="D18" s="5" t="n">
        <v>1</v>
      </c>
      <c r="E18" s="5" t="n">
        <v>1</v>
      </c>
      <c r="F18" s="5">
        <f>IF(AND(ISNUMBER(D18),ISNUMBER(E18)),MAX(0,D18-E18),"")</f>
        <v/>
      </c>
      <c r="G18" s="5">
        <f>IF(F18="","",IF(F18=0,"Met",IF(F18=1,"Partial","Not met")))</f>
        <v/>
      </c>
      <c r="H18" s="5" t="inlineStr">
        <is>
          <t>TRN-01 + AUP acknowledgement</t>
        </is>
      </c>
      <c r="I18" s="5" t="inlineStr">
        <is>
          <t>—</t>
        </is>
      </c>
      <c r="J18" s="5" t="inlineStr"/>
      <c r="K18" s="10" t="n">
        <v>46296</v>
      </c>
    </row>
    <row r="19">
      <c r="A19" s="11" t="inlineStr">
        <is>
          <t>[name or role group]</t>
        </is>
      </c>
      <c r="B19" s="11" t="inlineStr">
        <is>
          <t>[role]</t>
        </is>
      </c>
      <c r="C19" s="11" t="inlineStr">
        <is>
          <t>[competence area]</t>
        </is>
      </c>
      <c r="D19" s="11" t="inlineStr">
        <is>
          <t>[0-4]</t>
        </is>
      </c>
      <c r="E19" s="11" t="inlineStr">
        <is>
          <t>[0-4]</t>
        </is>
      </c>
      <c r="F19" s="5">
        <f>IF(AND(ISNUMBER(D19),ISNUMBER(E19)),MAX(0,D19-E19),"")</f>
        <v/>
      </c>
      <c r="G19" s="5">
        <f>IF(F19="","",IF(F19=0,"Met",IF(F19=1,"Partial","Not met")))</f>
        <v/>
      </c>
      <c r="H19" s="11" t="inlineStr">
        <is>
          <t>[evidence]</t>
        </is>
      </c>
      <c r="I19" s="11" t="inlineStr">
        <is>
          <t>[action]</t>
        </is>
      </c>
      <c r="J19" s="11" t="inlineStr">
        <is>
          <t>[due date]</t>
        </is>
      </c>
      <c r="K19" s="11" t="inlineStr">
        <is>
          <t>[date]</t>
        </is>
      </c>
    </row>
    <row r="20">
      <c r="A20" s="5" t="n"/>
      <c r="B20" s="5" t="n"/>
      <c r="C20" s="5" t="n"/>
      <c r="D20" s="5" t="n"/>
      <c r="E20" s="5" t="n"/>
      <c r="F20" s="5">
        <f>IF(AND(ISNUMBER(D20),ISNUMBER(E20)),MAX(0,D20-E20),"")</f>
        <v/>
      </c>
      <c r="G20" s="5">
        <f>IF(F20="","",IF(F20=0,"Met",IF(F20=1,"Partial","Not met")))</f>
        <v/>
      </c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>
        <f>IF(AND(ISNUMBER(D21),ISNUMBER(E21)),MAX(0,D21-E21),"")</f>
        <v/>
      </c>
      <c r="G21" s="5">
        <f>IF(F21="","",IF(F21=0,"Met",IF(F21=1,"Partial","Not met")))</f>
        <v/>
      </c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>
        <f>IF(AND(ISNUMBER(D22),ISNUMBER(E22)),MAX(0,D22-E22),"")</f>
        <v/>
      </c>
      <c r="G22" s="5">
        <f>IF(F22="","",IF(F22=0,"Met",IF(F22=1,"Partial","Not met")))</f>
        <v/>
      </c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>
        <f>IF(AND(ISNUMBER(D23),ISNUMBER(E23)),MAX(0,D23-E23),"")</f>
        <v/>
      </c>
      <c r="G23" s="5">
        <f>IF(F23="","",IF(F23=0,"Met",IF(F23=1,"Partial","Not met")))</f>
        <v/>
      </c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>
        <f>IF(AND(ISNUMBER(D24),ISNUMBER(E24)),MAX(0,D24-E24),"")</f>
        <v/>
      </c>
      <c r="G24" s="5">
        <f>IF(F24="","",IF(F24=0,"Met",IF(F24=1,"Partial","Not met")))</f>
        <v/>
      </c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>
        <f>IF(AND(ISNUMBER(D25),ISNUMBER(E25)),MAX(0,D25-E25),"")</f>
        <v/>
      </c>
      <c r="G25" s="5">
        <f>IF(F25="","",IF(F25=0,"Met",IF(F25=1,"Partial","Not met")))</f>
        <v/>
      </c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>
        <f>IF(AND(ISNUMBER(D26),ISNUMBER(E26)),MAX(0,D26-E26),"")</f>
        <v/>
      </c>
      <c r="G26" s="5">
        <f>IF(F26="","",IF(F26=0,"Met",IF(F26=1,"Partial","Not met")))</f>
        <v/>
      </c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>
        <f>IF(AND(ISNUMBER(D27),ISNUMBER(E27)),MAX(0,D27-E27),"")</f>
        <v/>
      </c>
      <c r="G27" s="5">
        <f>IF(F27="","",IF(F27=0,"Met",IF(F27=1,"Partial","Not met")))</f>
        <v/>
      </c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>
        <f>IF(AND(ISNUMBER(D28),ISNUMBER(E28)),MAX(0,D28-E28),"")</f>
        <v/>
      </c>
      <c r="G28" s="5">
        <f>IF(F28="","",IF(F28=0,"Met",IF(F28=1,"Partial","Not met")))</f>
        <v/>
      </c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>
        <f>IF(AND(ISNUMBER(D29),ISNUMBER(E29)),MAX(0,D29-E29),"")</f>
        <v/>
      </c>
      <c r="G29" s="5">
        <f>IF(F29="","",IF(F29=0,"Met",IF(F29=1,"Partial","Not met")))</f>
        <v/>
      </c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>
        <f>IF(AND(ISNUMBER(D30),ISNUMBER(E30)),MAX(0,D30-E30),"")</f>
        <v/>
      </c>
      <c r="G30" s="5">
        <f>IF(F30="","",IF(F30=0,"Met",IF(F30=1,"Partial","Not met")))</f>
        <v/>
      </c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>
        <f>IF(AND(ISNUMBER(D31),ISNUMBER(E31)),MAX(0,D31-E31),"")</f>
        <v/>
      </c>
      <c r="G31" s="5">
        <f>IF(F31="","",IF(F31=0,"Met",IF(F31=1,"Partial","Not met")))</f>
        <v/>
      </c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>
        <f>IF(AND(ISNUMBER(D32),ISNUMBER(E32)),MAX(0,D32-E32),"")</f>
        <v/>
      </c>
      <c r="G32" s="5">
        <f>IF(F32="","",IF(F32=0,"Met",IF(F32=1,"Partial","Not met")))</f>
        <v/>
      </c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>
        <f>IF(AND(ISNUMBER(D33),ISNUMBER(E33)),MAX(0,D33-E33),"")</f>
        <v/>
      </c>
      <c r="G33" s="5">
        <f>IF(F33="","",IF(F33=0,"Met",IF(F33=1,"Partial","Not met")))</f>
        <v/>
      </c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>
        <f>IF(AND(ISNUMBER(D34),ISNUMBER(E34)),MAX(0,D34-E34),"")</f>
        <v/>
      </c>
      <c r="G34" s="5">
        <f>IF(F34="","",IF(F34=0,"Met",IF(F34=1,"Partial","Not met")))</f>
        <v/>
      </c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>
        <f>IF(AND(ISNUMBER(D35),ISNUMBER(E35)),MAX(0,D35-E35),"")</f>
        <v/>
      </c>
      <c r="G35" s="5">
        <f>IF(F35="","",IF(F35=0,"Met",IF(F35=1,"Partial","Not met")))</f>
        <v/>
      </c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>
        <f>IF(AND(ISNUMBER(D36),ISNUMBER(E36)),MAX(0,D36-E36),"")</f>
        <v/>
      </c>
      <c r="G36" s="5">
        <f>IF(F36="","",IF(F36=0,"Met",IF(F36=1,"Partial","Not met")))</f>
        <v/>
      </c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>
        <f>IF(AND(ISNUMBER(D37),ISNUMBER(E37)),MAX(0,D37-E37),"")</f>
        <v/>
      </c>
      <c r="G37" s="5">
        <f>IF(F37="","",IF(F37=0,"Met",IF(F37=1,"Partial","Not met")))</f>
        <v/>
      </c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>
        <f>IF(AND(ISNUMBER(D38),ISNUMBER(E38)),MAX(0,D38-E38),"")</f>
        <v/>
      </c>
      <c r="G38" s="5">
        <f>IF(F38="","",IF(F38=0,"Met",IF(F38=1,"Partial","Not met")))</f>
        <v/>
      </c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>
        <f>IF(AND(ISNUMBER(D39),ISNUMBER(E39)),MAX(0,D39-E39),"")</f>
        <v/>
      </c>
      <c r="G39" s="5">
        <f>IF(F39="","",IF(F39=0,"Met",IF(F39=1,"Partial","Not met")))</f>
        <v/>
      </c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>
        <f>IF(AND(ISNUMBER(D40),ISNUMBER(E40)),MAX(0,D40-E40),"")</f>
        <v/>
      </c>
      <c r="G40" s="5">
        <f>IF(F40="","",IF(F40=0,"Met",IF(F40=1,"Partial","Not met")))</f>
        <v/>
      </c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>
        <f>IF(AND(ISNUMBER(D41),ISNUMBER(E41)),MAX(0,D41-E41),"")</f>
        <v/>
      </c>
      <c r="G41" s="5">
        <f>IF(F41="","",IF(F41=0,"Met",IF(F41=1,"Partial","Not met")))</f>
        <v/>
      </c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>
        <f>IF(AND(ISNUMBER(D42),ISNUMBER(E42)),MAX(0,D42-E42),"")</f>
        <v/>
      </c>
      <c r="G42" s="5">
        <f>IF(F42="","",IF(F42=0,"Met",IF(F42=1,"Partial","Not met")))</f>
        <v/>
      </c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>
        <f>IF(AND(ISNUMBER(D43),ISNUMBER(E43)),MAX(0,D43-E43),"")</f>
        <v/>
      </c>
      <c r="G43" s="5">
        <f>IF(F43="","",IF(F43=0,"Met",IF(F43=1,"Partial","Not met")))</f>
        <v/>
      </c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>
        <f>IF(AND(ISNUMBER(D44),ISNUMBER(E44)),MAX(0,D44-E44),"")</f>
        <v/>
      </c>
      <c r="G44" s="5">
        <f>IF(F44="","",IF(F44=0,"Met",IF(F44=1,"Partial","Not met")))</f>
        <v/>
      </c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>
        <f>IF(AND(ISNUMBER(D45),ISNUMBER(E45)),MAX(0,D45-E45),"")</f>
        <v/>
      </c>
      <c r="G45" s="5">
        <f>IF(F45="","",IF(F45=0,"Met",IF(F45=1,"Partial","Not met")))</f>
        <v/>
      </c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>
        <f>IF(AND(ISNUMBER(D46),ISNUMBER(E46)),MAX(0,D46-E46),"")</f>
        <v/>
      </c>
      <c r="G46" s="5">
        <f>IF(F46="","",IF(F46=0,"Met",IF(F46=1,"Partial","Not met")))</f>
        <v/>
      </c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>
        <f>IF(AND(ISNUMBER(D47),ISNUMBER(E47)),MAX(0,D47-E47),"")</f>
        <v/>
      </c>
      <c r="G47" s="5">
        <f>IF(F47="","",IF(F47=0,"Met",IF(F47=1,"Partial","Not met")))</f>
        <v/>
      </c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>
        <f>IF(AND(ISNUMBER(D48),ISNUMBER(E48)),MAX(0,D48-E48),"")</f>
        <v/>
      </c>
      <c r="G48" s="5">
        <f>IF(F48="","",IF(F48=0,"Met",IF(F48=1,"Partial","Not met")))</f>
        <v/>
      </c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>
        <f>IF(AND(ISNUMBER(D49),ISNUMBER(E49)),MAX(0,D49-E49),"")</f>
        <v/>
      </c>
      <c r="G49" s="5">
        <f>IF(F49="","",IF(F49=0,"Met",IF(F49=1,"Partial","Not met")))</f>
        <v/>
      </c>
      <c r="H49" s="5" t="n"/>
      <c r="I49" s="5" t="n"/>
      <c r="J49" s="5" t="n"/>
      <c r="K49" s="5" t="n"/>
    </row>
  </sheetData>
  <autoFilter ref="A4:K49"/>
  <mergeCells count="1">
    <mergeCell ref="A2:K2"/>
  </mergeCells>
  <conditionalFormatting sqref="G5:G49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2">
    <dataValidation sqref="D5:D49" showDropDown="0" showInputMessage="0" showErrorMessage="0" allowBlank="1" errorTitle="Invalid value" error="Pick a value from the list." type="list">
      <formula1>"0,1,2,3,4"</formula1>
    </dataValidation>
    <dataValidation sqref="E5:E49" showDropDown="0" showInputMessage="0" showErrorMessage="0" allowBlank="1" errorTitle="Invalid value" error="Pick a value from the list." type="list">
      <formula1>"0,1,2,3,4"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36" customWidth="1" min="5" max="5"/>
    <col width="22" customWidth="1" min="6" max="6"/>
    <col width="10" customWidth="1" min="7" max="7"/>
    <col width="22" customWidth="1" min="8" max="8"/>
    <col width="30" customWidth="1" min="9" max="9"/>
    <col width="32" customWidth="1" min="10" max="10"/>
  </cols>
  <sheetData>
    <row r="1">
      <c r="A1" s="8" t="inlineStr">
        <is>
          <t>Training catalogue</t>
        </is>
      </c>
    </row>
    <row r="2" ht="30" customHeight="1">
      <c r="A2" s="3" t="inlineStr">
        <is>
          <t>Every course we run or buy, who must take it, and how often it must be refreshed.</t>
        </is>
      </c>
    </row>
    <row r="4" ht="32" customHeight="1">
      <c r="A4" s="9" t="inlineStr">
        <is>
          <t>Course ID</t>
        </is>
      </c>
      <c r="B4" s="9" t="inlineStr">
        <is>
          <t>Course</t>
        </is>
      </c>
      <c r="C4" s="9" t="inlineStr">
        <is>
          <t>Audience</t>
        </is>
      </c>
      <c r="D4" s="9" t="inlineStr">
        <is>
          <t>Competences</t>
        </is>
      </c>
      <c r="E4" s="9" t="inlineStr">
        <is>
          <t>Format / provider</t>
        </is>
      </c>
      <c r="F4" s="9" t="inlineStr">
        <is>
          <t>First due</t>
        </is>
      </c>
      <c r="G4" s="9" t="inlineStr">
        <is>
          <t>Refresh (months)</t>
        </is>
      </c>
      <c r="H4" s="9" t="inlineStr">
        <is>
          <t>Pass rule</t>
        </is>
      </c>
      <c r="I4" s="9" t="inlineStr">
        <is>
          <t>Owner</t>
        </is>
      </c>
      <c r="J4" s="9" t="inlineStr">
        <is>
          <t>Standards / law</t>
        </is>
      </c>
    </row>
    <row r="5">
      <c r="A5" s="5" t="inlineStr">
        <is>
          <t>TRN-01</t>
        </is>
      </c>
      <c r="B5" s="5" t="inlineStr">
        <is>
          <t>Security and Responsible AI Essentials</t>
        </is>
      </c>
      <c r="C5" s="5" t="inlineStr">
        <is>
          <t>Everyone incl. contractors</t>
        </is>
      </c>
      <c r="D5" s="5" t="inlineStr">
        <is>
          <t>C-01, C-02</t>
        </is>
      </c>
      <c r="E5" s="5" t="inlineStr">
        <is>
          <t>E-learning (internal, 45 min) + quiz</t>
        </is>
      </c>
      <c r="F5" s="5" t="inlineStr">
        <is>
          <t>Within 30 days of joining</t>
        </is>
      </c>
      <c r="G5" s="5" t="n">
        <v>12</v>
      </c>
      <c r="H5" s="5" t="inlineStr">
        <is>
          <t>Quiz ≥ 80%; AUP signed</t>
        </is>
      </c>
      <c r="I5" s="5" t="inlineStr">
        <is>
          <t>[People and Operations Lead]</t>
        </is>
      </c>
      <c r="J5" s="5" t="inlineStr">
        <is>
          <t>27001 7.2, 7.3, A 6.3; 42001 7.2, 7.3, A.4.6; EU AI Act Art. 4</t>
        </is>
      </c>
    </row>
    <row r="6">
      <c r="A6" s="5" t="inlineStr">
        <is>
          <t>TRN-02</t>
        </is>
      </c>
      <c r="B6" s="5" t="inlineStr">
        <is>
          <t>Secure Coding and AI Application Security</t>
        </is>
      </c>
      <c r="C6" s="5" t="inlineStr">
        <is>
          <t>Engineers, ML engineers</t>
        </is>
      </c>
      <c r="D6" s="5" t="inlineStr">
        <is>
          <t>C-03</t>
        </is>
      </c>
      <c r="E6" s="5" t="inlineStr">
        <is>
          <t>Workshop (3 h) + hands-on lab (OWASP Top 10, LLM Top 10, prompt injection)</t>
        </is>
      </c>
      <c r="F6" s="5" t="inlineStr">
        <is>
          <t>Within 60 days</t>
        </is>
      </c>
      <c r="G6" s="5" t="n">
        <v>12</v>
      </c>
      <c r="H6" s="5" t="inlineStr">
        <is>
          <t>Lab exercise reviewed</t>
        </is>
      </c>
      <c r="I6" s="5" t="inlineStr">
        <is>
          <t>[CTO]</t>
        </is>
      </c>
      <c r="J6" s="5" t="inlineStr">
        <is>
          <t>27001 8.25, 8.28; 42001 A.6.2.4</t>
        </is>
      </c>
    </row>
    <row r="7">
      <c r="A7" s="5" t="inlineStr">
        <is>
          <t>TRN-03</t>
        </is>
      </c>
      <c r="B7" s="5" t="inlineStr">
        <is>
          <t>Responsible AI in Practice: impact, fairness, consent</t>
        </is>
      </c>
      <c r="C7" s="5" t="inlineStr">
        <is>
          <t>Data and ML, product, AI Release Review</t>
        </is>
      </c>
      <c r="D7" s="5" t="inlineStr">
        <is>
          <t>C-02, C-04, C-05, C-06</t>
        </is>
      </c>
      <c r="E7" s="5" t="inlineStr">
        <is>
          <t>Workshop (2 h) + sample AIIA walkthrough</t>
        </is>
      </c>
      <c r="F7" s="5" t="inlineStr">
        <is>
          <t>Before first release decision</t>
        </is>
      </c>
      <c r="G7" s="5" t="n">
        <v>12</v>
      </c>
      <c r="H7" s="5" t="inlineStr">
        <is>
          <t>Walkthrough completed</t>
        </is>
      </c>
      <c r="I7" s="5" t="inlineStr">
        <is>
          <t>[Head of AI]</t>
        </is>
      </c>
      <c r="J7" s="5" t="inlineStr">
        <is>
          <t>42001 A.4.6, A.5.2–A.5.4, A.7.3</t>
        </is>
      </c>
    </row>
    <row r="8">
      <c r="A8" s="5" t="inlineStr">
        <is>
          <t>TRN-04</t>
        </is>
      </c>
      <c r="B8" s="5" t="inlineStr">
        <is>
          <t>Content-safety reviewer training</t>
        </is>
      </c>
      <c r="C8" s="5" t="inlineStr">
        <is>
          <t>Creative team, moderation reviewers</t>
        </is>
      </c>
      <c r="D8" s="5" t="inlineStr">
        <is>
          <t>C-09</t>
        </is>
      </c>
      <c r="E8" s="5" t="inlineStr">
        <is>
          <t>Live session (1.5 h) + calibration test</t>
        </is>
      </c>
      <c r="F8" s="5" t="inlineStr">
        <is>
          <t>Before first review shift</t>
        </is>
      </c>
      <c r="G8" s="5" t="n">
        <v>6</v>
      </c>
      <c r="H8" s="5" t="inlineStr">
        <is>
          <t>≥ 90% agreement</t>
        </is>
      </c>
      <c r="I8" s="5" t="inlineStr">
        <is>
          <t>[Creative Director]</t>
        </is>
      </c>
      <c r="J8" s="5" t="inlineStr">
        <is>
          <t>42001 A.6.2.6, A.9.3</t>
        </is>
      </c>
    </row>
    <row r="9">
      <c r="A9" s="5" t="inlineStr">
        <is>
          <t>TRN-05</t>
        </is>
      </c>
      <c r="B9" s="5" t="inlineStr">
        <is>
          <t>Privacy and personal data essentials</t>
        </is>
      </c>
      <c r="C9" s="5" t="inlineStr">
        <is>
          <t>Support, People Ops, marketplace team</t>
        </is>
      </c>
      <c r="D9" s="5" t="inlineStr">
        <is>
          <t>C-05</t>
        </is>
      </c>
      <c r="E9" s="5" t="inlineStr">
        <is>
          <t>E-learning (30 min)</t>
        </is>
      </c>
      <c r="F9" s="5" t="inlineStr">
        <is>
          <t>Within 30 days</t>
        </is>
      </c>
      <c r="G9" s="5" t="n">
        <v>24</v>
      </c>
      <c r="H9" s="5" t="inlineStr">
        <is>
          <t>Quiz ≥ 80%</t>
        </is>
      </c>
      <c r="I9" s="5" t="inlineStr">
        <is>
          <t>[Privacy and Legal Lead]</t>
        </is>
      </c>
      <c r="J9" s="5" t="inlineStr">
        <is>
          <t>27001 5.34</t>
        </is>
      </c>
    </row>
    <row r="10">
      <c r="A10" s="5" t="inlineStr">
        <is>
          <t>TRN-06</t>
        </is>
      </c>
      <c r="B10" s="5" t="inlineStr">
        <is>
          <t>Incident response tabletop</t>
        </is>
      </c>
      <c r="C10" s="5" t="inlineStr">
        <is>
          <t>Incident team, on-call engineers</t>
        </is>
      </c>
      <c r="D10" s="5" t="inlineStr">
        <is>
          <t>C-08</t>
        </is>
      </c>
      <c r="E10" s="5" t="inlineStr">
        <is>
          <t>Tabletop exercise (90 min) using a past incident</t>
        </is>
      </c>
      <c r="F10" s="5" t="inlineStr">
        <is>
          <t>On joining the rota</t>
        </is>
      </c>
      <c r="G10" s="5" t="n">
        <v>6</v>
      </c>
      <c r="H10" s="5" t="inlineStr">
        <is>
          <t>Attendance + actions</t>
        </is>
      </c>
      <c r="I10" s="5" t="inlineStr">
        <is>
          <t>[Security Lead]</t>
        </is>
      </c>
      <c r="J10" s="5" t="inlineStr">
        <is>
          <t>27001 5.24–5.27; 42001 A.8.4</t>
        </is>
      </c>
    </row>
    <row r="11">
      <c r="A11" s="5" t="inlineStr">
        <is>
          <t>TRN-07</t>
        </is>
      </c>
      <c r="B11" s="5" t="inlineStr">
        <is>
          <t>Phishing simulation</t>
        </is>
      </c>
      <c r="C11" s="5" t="inlineStr">
        <is>
          <t>Everyone</t>
        </is>
      </c>
      <c r="D11" s="5" t="inlineStr">
        <is>
          <t>C-01</t>
        </is>
      </c>
      <c r="E11" s="5" t="inlineStr">
        <is>
          <t>Simulated emails (quarterly)</t>
        </is>
      </c>
      <c r="F11" s="5" t="inlineStr">
        <is>
          <t>From first month</t>
        </is>
      </c>
      <c r="G11" s="5" t="n">
        <v>3</v>
      </c>
      <c r="H11" s="5" t="inlineStr">
        <is>
          <t>Report rate tracked</t>
        </is>
      </c>
      <c r="I11" s="5" t="inlineStr">
        <is>
          <t>[Security Lead]</t>
        </is>
      </c>
      <c r="J11" s="5" t="inlineStr">
        <is>
          <t>27001 6.3</t>
        </is>
      </c>
    </row>
    <row r="12">
      <c r="A12" s="5" t="inlineStr">
        <is>
          <t>TRN-08</t>
        </is>
      </c>
      <c r="B12" s="5" t="inlineStr">
        <is>
          <t>Supplier and AI vendor due diligence</t>
        </is>
      </c>
      <c r="C12" s="5" t="inlineStr">
        <is>
          <t>Privacy and Legal, procurement, product owners</t>
        </is>
      </c>
      <c r="D12" s="5" t="inlineStr">
        <is>
          <t>C-10</t>
        </is>
      </c>
      <c r="E12" s="5" t="inlineStr">
        <is>
          <t>Briefing (1 h) + checklist</t>
        </is>
      </c>
      <c r="F12" s="5" t="inlineStr">
        <is>
          <t>Before first supplier review</t>
        </is>
      </c>
      <c r="G12" s="5" t="n">
        <v>24</v>
      </c>
      <c r="H12" s="5" t="inlineStr">
        <is>
          <t>Checklist used once with review</t>
        </is>
      </c>
      <c r="I12" s="5" t="inlineStr">
        <is>
          <t>[Privacy and Legal Lead]</t>
        </is>
      </c>
      <c r="J12" s="5" t="inlineStr">
        <is>
          <t>27001 5.19–5.22; 42001 A.10.2–A.10.4</t>
        </is>
      </c>
    </row>
    <row r="13">
      <c r="A13" s="5" t="inlineStr">
        <is>
          <t>TRN-09</t>
        </is>
      </c>
      <c r="B13" s="5" t="inlineStr">
        <is>
          <t>Internal auditor course (27001 + 42001)</t>
        </is>
      </c>
      <c r="C13" s="5" t="inlineStr">
        <is>
          <t>Compliance Coordinator, rotating peer auditors</t>
        </is>
      </c>
      <c r="D13" s="5" t="inlineStr">
        <is>
          <t>C-11</t>
        </is>
      </c>
      <c r="E13" s="5" t="inlineStr">
        <is>
          <t>External 2-day course</t>
        </is>
      </c>
      <c r="F13" s="5" t="inlineStr">
        <is>
          <t>Before first audit</t>
        </is>
      </c>
      <c r="G13" s="5" t="n">
        <v>36</v>
      </c>
      <c r="H13" s="5" t="inlineStr">
        <is>
          <t>Certificate</t>
        </is>
      </c>
      <c r="I13" s="5" t="inlineStr">
        <is>
          <t>[Compliance Coordinator]</t>
        </is>
      </c>
      <c r="J13" s="5" t="inlineStr">
        <is>
          <t>27001 9.2; 42001 9.2</t>
        </is>
      </c>
    </row>
    <row r="14">
      <c r="A14" s="11" t="inlineStr">
        <is>
          <t>[TRN-xx]</t>
        </is>
      </c>
      <c r="B14" s="11" t="inlineStr">
        <is>
          <t>[course]</t>
        </is>
      </c>
      <c r="C14" s="11" t="inlineStr">
        <is>
          <t>[audience]</t>
        </is>
      </c>
      <c r="D14" s="11" t="inlineStr">
        <is>
          <t>[competences]</t>
        </is>
      </c>
      <c r="E14" s="11" t="inlineStr">
        <is>
          <t>[format / provider]</t>
        </is>
      </c>
      <c r="F14" s="11" t="inlineStr">
        <is>
          <t>[when]</t>
        </is>
      </c>
      <c r="G14" s="11" t="inlineStr">
        <is>
          <t>[months]</t>
        </is>
      </c>
      <c r="H14" s="11" t="inlineStr">
        <is>
          <t>[pass rule]</t>
        </is>
      </c>
      <c r="I14" s="11" t="inlineStr">
        <is>
          <t>[owner]</t>
        </is>
      </c>
      <c r="J14" s="11" t="inlineStr">
        <is>
          <t>[standard link]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</sheetData>
  <autoFilter ref="A4:J44"/>
  <mergeCells count="1"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1" customWidth="1" min="3" max="3"/>
    <col width="13" customWidth="1" min="4" max="4"/>
    <col width="9" customWidth="1" min="5" max="5"/>
    <col width="9" customWidth="1" min="6" max="6"/>
    <col width="12" customWidth="1" min="7" max="7"/>
    <col width="13" customWidth="1" min="8" max="8"/>
    <col width="8" customWidth="1" min="9" max="9"/>
    <col width="11" customWidth="1" min="10" max="10"/>
    <col width="24" customWidth="1" min="11" max="11"/>
    <col width="46" customWidth="1" min="12" max="12"/>
  </cols>
  <sheetData>
    <row r="1">
      <c r="A1" s="8" t="inlineStr">
        <is>
          <t>Training records</t>
        </is>
      </c>
    </row>
    <row r="2" ht="30" customHeight="1">
      <c r="A2" s="3" t="inlineStr">
        <is>
          <t>One row per person per course. Days allowed: 30 for onboarding essentials, 60 for role training, 365 for yearly refreshers. Status: Done, Done late, Open or Overdue.</t>
        </is>
      </c>
    </row>
    <row r="4" ht="32" customHeight="1">
      <c r="A4" s="9" t="inlineStr">
        <is>
          <t>Record ID</t>
        </is>
      </c>
      <c r="B4" s="9" t="inlineStr">
        <is>
          <t>Person</t>
        </is>
      </c>
      <c r="C4" s="9" t="inlineStr">
        <is>
          <t>Type</t>
        </is>
      </c>
      <c r="D4" s="9" t="inlineStr">
        <is>
          <t>Start / assigned date</t>
        </is>
      </c>
      <c r="E4" s="9" t="inlineStr">
        <is>
          <t>Course ID</t>
        </is>
      </c>
      <c r="F4" s="9" t="inlineStr">
        <is>
          <t>Days allowed</t>
        </is>
      </c>
      <c r="G4" s="9" t="inlineStr">
        <is>
          <t>Due</t>
        </is>
      </c>
      <c r="H4" s="9" t="inlineStr">
        <is>
          <t>Completed on</t>
        </is>
      </c>
      <c r="I4" s="9" t="inlineStr">
        <is>
          <t>Score %</t>
        </is>
      </c>
      <c r="J4" s="9" t="inlineStr">
        <is>
          <t>Status</t>
        </is>
      </c>
      <c r="K4" s="9" t="inlineStr">
        <is>
          <t>Evidence</t>
        </is>
      </c>
      <c r="L4" s="9" t="inlineStr">
        <is>
          <t>Notes</t>
        </is>
      </c>
    </row>
    <row r="5">
      <c r="A5" s="5" t="inlineStr">
        <is>
          <t>TR-2026-001</t>
        </is>
      </c>
      <c r="B5" s="5" t="inlineStr">
        <is>
          <t>[CEO]</t>
        </is>
      </c>
      <c r="C5" s="5" t="inlineStr">
        <is>
          <t>Employee</t>
        </is>
      </c>
      <c r="D5" s="10" t="n">
        <v>46034</v>
      </c>
      <c r="E5" s="5" t="inlineStr">
        <is>
          <t>TRN-01</t>
        </is>
      </c>
      <c r="F5" s="5" t="n">
        <v>365</v>
      </c>
      <c r="G5" s="5">
        <f>IF(NOT(ISNUMBER(D5)),"",TEXT(D5+F5,"yyyy-mm-dd"))</f>
        <v/>
      </c>
      <c r="H5" s="10" t="n">
        <v>46042</v>
      </c>
      <c r="I5" s="5" t="n">
        <v>95</v>
      </c>
      <c r="J5" s="5">
        <f>IF(NOT(ISNUMBER(D5)),"",IF(ISNUMBER(H5),IF(H5&lt;=D5+F5,"Done","Done late"),IF(TODAY()&gt;D5+F5,"Overdue","Open")))</f>
        <v/>
      </c>
      <c r="K5" s="5" t="inlineStr">
        <is>
          <t>LMS export Q1</t>
        </is>
      </c>
      <c r="L5" s="5" t="inlineStr"/>
    </row>
    <row r="6">
      <c r="A6" s="5" t="inlineStr">
        <is>
          <t>TR-2026-014</t>
        </is>
      </c>
      <c r="B6" s="5" t="inlineStr">
        <is>
          <t>[Head of AI]</t>
        </is>
      </c>
      <c r="C6" s="5" t="inlineStr">
        <is>
          <t>Employee</t>
        </is>
      </c>
      <c r="D6" s="10" t="n">
        <v>46055</v>
      </c>
      <c r="E6" s="5" t="inlineStr">
        <is>
          <t>TRN-03</t>
        </is>
      </c>
      <c r="F6" s="5" t="n">
        <v>60</v>
      </c>
      <c r="G6" s="5">
        <f>IF(NOT(ISNUMBER(D6)),"",TEXT(D6+F6,"yyyy-mm-dd"))</f>
        <v/>
      </c>
      <c r="H6" s="10" t="n">
        <v>46071</v>
      </c>
      <c r="I6" s="5" t="inlineStr"/>
      <c r="J6" s="5">
        <f>IF(NOT(ISNUMBER(D6)),"",IF(ISNUMBER(H6),IF(H6&lt;=D6+F6,"Done","Done late"),IF(TODAY()&gt;D6+F6,"Overdue","Open")))</f>
        <v/>
      </c>
      <c r="K6" s="5" t="inlineStr">
        <is>
          <t>Attendance sheet</t>
        </is>
      </c>
      <c r="L6" s="5" t="inlineStr">
        <is>
          <t>Co-presented the session</t>
        </is>
      </c>
    </row>
    <row r="7">
      <c r="A7" s="5" t="inlineStr">
        <is>
          <t>TR-2026-021</t>
        </is>
      </c>
      <c r="B7" s="5" t="inlineStr">
        <is>
          <t>[Data and ML Lead]</t>
        </is>
      </c>
      <c r="C7" s="5" t="inlineStr">
        <is>
          <t>Employee</t>
        </is>
      </c>
      <c r="D7" s="10" t="n">
        <v>46083</v>
      </c>
      <c r="E7" s="5" t="inlineStr">
        <is>
          <t>TRN-02</t>
        </is>
      </c>
      <c r="F7" s="5" t="n">
        <v>60</v>
      </c>
      <c r="G7" s="5">
        <f>IF(NOT(ISNUMBER(D7)),"",TEXT(D7+F7,"yyyy-mm-dd"))</f>
        <v/>
      </c>
      <c r="H7" s="10" t="n">
        <v>46111</v>
      </c>
      <c r="I7" s="5" t="inlineStr"/>
      <c r="J7" s="5">
        <f>IF(NOT(ISNUMBER(D7)),"",IF(ISNUMBER(H7),IF(H7&lt;=D7+F7,"Done","Done late"),IF(TODAY()&gt;D7+F7,"Overdue","Open")))</f>
        <v/>
      </c>
      <c r="K7" s="5" t="inlineStr">
        <is>
          <t>Lab review in GitHub</t>
        </is>
      </c>
      <c r="L7" s="5" t="inlineStr"/>
    </row>
    <row r="8">
      <c r="A8" s="5" t="inlineStr">
        <is>
          <t>TR-2026-033</t>
        </is>
      </c>
      <c r="B8" s="5" t="inlineStr">
        <is>
          <t>[Creative Director]</t>
        </is>
      </c>
      <c r="C8" s="5" t="inlineStr">
        <is>
          <t>Employee</t>
        </is>
      </c>
      <c r="D8" s="10" t="n">
        <v>46118</v>
      </c>
      <c r="E8" s="5" t="inlineStr">
        <is>
          <t>TRN-04</t>
        </is>
      </c>
      <c r="F8" s="5" t="n">
        <v>30</v>
      </c>
      <c r="G8" s="5">
        <f>IF(NOT(ISNUMBER(D8)),"",TEXT(D8+F8,"yyyy-mm-dd"))</f>
        <v/>
      </c>
      <c r="H8" s="10" t="n">
        <v>46121</v>
      </c>
      <c r="I8" s="5" t="n">
        <v>96</v>
      </c>
      <c r="J8" s="5">
        <f>IF(NOT(ISNUMBER(D8)),"",IF(ISNUMBER(H8),IF(H8&lt;=D8+F8,"Done","Done late"),IF(TODAY()&gt;D8+F8,"Overdue","Open")))</f>
        <v/>
      </c>
      <c r="K8" s="5" t="inlineStr">
        <is>
          <t>Calibration sheet</t>
        </is>
      </c>
      <c r="L8" s="5" t="inlineStr"/>
    </row>
    <row r="9">
      <c r="A9" s="5" t="inlineStr">
        <is>
          <t>TR-2026-040</t>
        </is>
      </c>
      <c r="B9" s="5" t="inlineStr">
        <is>
          <t>[Backend Engineer 1]</t>
        </is>
      </c>
      <c r="C9" s="5" t="inlineStr">
        <is>
          <t>Employee</t>
        </is>
      </c>
      <c r="D9" s="10" t="n">
        <v>46146</v>
      </c>
      <c r="E9" s="5" t="inlineStr">
        <is>
          <t>TRN-01</t>
        </is>
      </c>
      <c r="F9" s="5" t="n">
        <v>30</v>
      </c>
      <c r="G9" s="5">
        <f>IF(NOT(ISNUMBER(D9)),"",TEXT(D9+F9,"yyyy-mm-dd"))</f>
        <v/>
      </c>
      <c r="H9" s="10" t="n">
        <v>46161</v>
      </c>
      <c r="I9" s="5" t="n">
        <v>88</v>
      </c>
      <c r="J9" s="5">
        <f>IF(NOT(ISNUMBER(D9)),"",IF(ISNUMBER(H9),IF(H9&lt;=D9+F9,"Done","Done late"),IF(TODAY()&gt;D9+F9,"Overdue","Open")))</f>
        <v/>
      </c>
      <c r="K9" s="5" t="inlineStr">
        <is>
          <t>LMS export</t>
        </is>
      </c>
      <c r="L9" s="5" t="inlineStr">
        <is>
          <t>New joiner</t>
        </is>
      </c>
    </row>
    <row r="10">
      <c r="A10" s="5" t="inlineStr">
        <is>
          <t>TR-2026-041</t>
        </is>
      </c>
      <c r="B10" s="5" t="inlineStr">
        <is>
          <t>[Backend Engineer 1]</t>
        </is>
      </c>
      <c r="C10" s="5" t="inlineStr">
        <is>
          <t>Employee</t>
        </is>
      </c>
      <c r="D10" s="10" t="n">
        <v>46146</v>
      </c>
      <c r="E10" s="5" t="inlineStr">
        <is>
          <t>TRN-02</t>
        </is>
      </c>
      <c r="F10" s="5" t="n">
        <v>60</v>
      </c>
      <c r="G10" s="5">
        <f>IF(NOT(ISNUMBER(D10)),"",TEXT(D10+F10,"yyyy-mm-dd"))</f>
        <v/>
      </c>
      <c r="H10" s="10" t="n">
        <v>46198</v>
      </c>
      <c r="I10" s="5" t="inlineStr"/>
      <c r="J10" s="5">
        <f>IF(NOT(ISNUMBER(D10)),"",IF(ISNUMBER(H10),IF(H10&lt;=D10+F10,"Done","Done late"),IF(TODAY()&gt;D10+F10,"Overdue","Open")))</f>
        <v/>
      </c>
      <c r="K10" s="5" t="inlineStr">
        <is>
          <t>Lab review</t>
        </is>
      </c>
      <c r="L10" s="5" t="inlineStr"/>
    </row>
    <row r="11">
      <c r="A11" s="5" t="inlineStr">
        <is>
          <t>TR-2026-052</t>
        </is>
      </c>
      <c r="B11" s="5" t="inlineStr">
        <is>
          <t>[Contractor A] (Front-end developer)</t>
        </is>
      </c>
      <c r="C11" s="5" t="inlineStr">
        <is>
          <t>Contractor</t>
        </is>
      </c>
      <c r="D11" s="10" t="n">
        <v>46209</v>
      </c>
      <c r="E11" s="5" t="inlineStr">
        <is>
          <t>TRN-01</t>
        </is>
      </c>
      <c r="F11" s="5" t="n">
        <v>30</v>
      </c>
      <c r="G11" s="5">
        <f>IF(NOT(ISNUMBER(D11)),"",TEXT(D11+F11,"yyyy-mm-dd"))</f>
        <v/>
      </c>
      <c r="H11" s="10" t="n">
        <v>46289</v>
      </c>
      <c r="I11" s="5" t="n">
        <v>84</v>
      </c>
      <c r="J11" s="5">
        <f>IF(NOT(ISNUMBER(D11)),"",IF(ISNUMBER(H11),IF(H11&lt;=D11+F11,"Done","Done late"),IF(TODAY()&gt;D11+F11,"Overdue","Open")))</f>
        <v/>
      </c>
      <c r="K11" s="5" t="inlineStr">
        <is>
          <t>LMS export</t>
        </is>
      </c>
      <c r="L11" s="5" t="inlineStr">
        <is>
          <t>Late — NC-2026-004 (AUD-2026-02); onboarded by hiring manager, not People Ops. CA-2026-005</t>
        </is>
      </c>
    </row>
    <row r="12">
      <c r="A12" s="5" t="inlineStr">
        <is>
          <t>TR-2026-053</t>
        </is>
      </c>
      <c r="B12" s="5" t="inlineStr">
        <is>
          <t>[Contractor B] (Illustrator, content reviewer)</t>
        </is>
      </c>
      <c r="C12" s="5" t="inlineStr">
        <is>
          <t>Contractor</t>
        </is>
      </c>
      <c r="D12" s="10" t="n">
        <v>46216</v>
      </c>
      <c r="E12" s="5" t="inlineStr">
        <is>
          <t>TRN-01</t>
        </is>
      </c>
      <c r="F12" s="5" t="n">
        <v>30</v>
      </c>
      <c r="G12" s="5">
        <f>IF(NOT(ISNUMBER(D12)),"",TEXT(D12+F12,"yyyy-mm-dd"))</f>
        <v/>
      </c>
      <c r="H12" s="10" t="n">
        <v>46290</v>
      </c>
      <c r="I12" s="5" t="n">
        <v>90</v>
      </c>
      <c r="J12" s="5">
        <f>IF(NOT(ISNUMBER(D12)),"",IF(ISNUMBER(H12),IF(H12&lt;=D12+F12,"Done","Done late"),IF(TODAY()&gt;D12+F12,"Overdue","Open")))</f>
        <v/>
      </c>
      <c r="K12" s="5" t="inlineStr">
        <is>
          <t>LMS export</t>
        </is>
      </c>
      <c r="L12" s="5" t="inlineStr">
        <is>
          <t>Late — NC-2026-004 (AUD-2026-02); CA-2026-005</t>
        </is>
      </c>
    </row>
    <row r="13">
      <c r="A13" s="5" t="inlineStr">
        <is>
          <t>TR-2026-054</t>
        </is>
      </c>
      <c r="B13" s="5" t="inlineStr">
        <is>
          <t>[Contractor B] (Illustrator, content reviewer)</t>
        </is>
      </c>
      <c r="C13" s="5" t="inlineStr">
        <is>
          <t>Contractor</t>
        </is>
      </c>
      <c r="D13" s="10" t="n">
        <v>46216</v>
      </c>
      <c r="E13" s="5" t="inlineStr">
        <is>
          <t>TRN-04</t>
        </is>
      </c>
      <c r="F13" s="5" t="n">
        <v>30</v>
      </c>
      <c r="G13" s="5">
        <f>IF(NOT(ISNUMBER(D13)),"",TEXT(D13+F13,"yyyy-mm-dd"))</f>
        <v/>
      </c>
      <c r="H13" s="10" t="n">
        <v>46291</v>
      </c>
      <c r="I13" s="5" t="n">
        <v>92</v>
      </c>
      <c r="J13" s="5">
        <f>IF(NOT(ISNUMBER(D13)),"",IF(ISNUMBER(H13),IF(H13&lt;=D13+F13,"Done","Done late"),IF(TODAY()&gt;D13+F13,"Overdue","Open")))</f>
        <v/>
      </c>
      <c r="K13" s="5" t="inlineStr">
        <is>
          <t>Calibration sheet</t>
        </is>
      </c>
      <c r="L13" s="5" t="inlineStr">
        <is>
          <t>No review shifts allowed before completion</t>
        </is>
      </c>
    </row>
    <row r="14">
      <c r="A14" s="5" t="inlineStr">
        <is>
          <t>TR-2026-060</t>
        </is>
      </c>
      <c r="B14" s="5" t="inlineStr">
        <is>
          <t>[Platform Engineer]</t>
        </is>
      </c>
      <c r="C14" s="5" t="inlineStr">
        <is>
          <t>Employee</t>
        </is>
      </c>
      <c r="D14" s="10" t="n">
        <v>46254</v>
      </c>
      <c r="E14" s="5" t="inlineStr">
        <is>
          <t>TRN-06</t>
        </is>
      </c>
      <c r="F14" s="5" t="n">
        <v>30</v>
      </c>
      <c r="G14" s="5">
        <f>IF(NOT(ISNUMBER(D14)),"",TEXT(D14+F14,"yyyy-mm-dd"))</f>
        <v/>
      </c>
      <c r="H14" s="10" t="n">
        <v>46261</v>
      </c>
      <c r="I14" s="5" t="inlineStr"/>
      <c r="J14" s="5">
        <f>IF(NOT(ISNUMBER(D14)),"",IF(ISNUMBER(H14),IF(H14&lt;=D14+F14,"Done","Done late"),IF(TODAY()&gt;D14+F14,"Overdue","Open")))</f>
        <v/>
      </c>
      <c r="K14" s="5" t="inlineStr">
        <is>
          <t>Tabletop notes (INC-2026-007 scenario)</t>
        </is>
      </c>
      <c r="L14" s="5" t="inlineStr"/>
    </row>
    <row r="15">
      <c r="A15" s="5" t="inlineStr">
        <is>
          <t>TR-2026-071</t>
        </is>
      </c>
      <c r="B15" s="5" t="inlineStr">
        <is>
          <t>[Support Agent 1]</t>
        </is>
      </c>
      <c r="C15" s="5" t="inlineStr">
        <is>
          <t>Employee</t>
        </is>
      </c>
      <c r="D15" s="10" t="n">
        <v>46279</v>
      </c>
      <c r="E15" s="5" t="inlineStr">
        <is>
          <t>TRN-01</t>
        </is>
      </c>
      <c r="F15" s="5" t="n">
        <v>30</v>
      </c>
      <c r="G15" s="5">
        <f>IF(NOT(ISNUMBER(D15)),"",TEXT(D15+F15,"yyyy-mm-dd"))</f>
        <v/>
      </c>
      <c r="H15" s="5" t="inlineStr"/>
      <c r="I15" s="5" t="inlineStr"/>
      <c r="J15" s="5">
        <f>IF(NOT(ISNUMBER(D15)),"",IF(ISNUMBER(H15),IF(H15&lt;=D15+F15,"Done","Done late"),IF(TODAY()&gt;D15+F15,"Overdue","Open")))</f>
        <v/>
      </c>
      <c r="K15" s="5" t="inlineStr"/>
      <c r="L15" s="5" t="inlineStr">
        <is>
          <t>Day-25 reminder sent (CA-2026-005)</t>
        </is>
      </c>
    </row>
    <row r="16">
      <c r="A16" s="5" t="inlineStr">
        <is>
          <t>TR-2026-072</t>
        </is>
      </c>
      <c r="B16" s="5" t="inlineStr">
        <is>
          <t>[Compliance Coordinator]</t>
        </is>
      </c>
      <c r="C16" s="5" t="inlineStr">
        <is>
          <t>Employee</t>
        </is>
      </c>
      <c r="D16" s="10" t="n">
        <v>46266</v>
      </c>
      <c r="E16" s="5" t="inlineStr">
        <is>
          <t>TRN-09</t>
        </is>
      </c>
      <c r="F16" s="5" t="n">
        <v>90</v>
      </c>
      <c r="G16" s="5">
        <f>IF(NOT(ISNUMBER(D16)),"",TEXT(D16+F16,"yyyy-mm-dd"))</f>
        <v/>
      </c>
      <c r="H16" s="5" t="inlineStr"/>
      <c r="I16" s="5" t="inlineStr"/>
      <c r="J16" s="5">
        <f>IF(NOT(ISNUMBER(D16)),"",IF(ISNUMBER(H16),IF(H16&lt;=D16+F16,"Done","Done late"),IF(TODAY()&gt;D16+F16,"Overdue","Open")))</f>
        <v/>
      </c>
      <c r="K16" s="5" t="inlineStr"/>
      <c r="L16" s="5" t="inlineStr">
        <is>
          <t>Booked on external course</t>
        </is>
      </c>
    </row>
    <row r="17">
      <c r="A17" s="11" t="inlineStr">
        <is>
          <t>[TR-yyyy-nnn]</t>
        </is>
      </c>
      <c r="B17" s="11" t="inlineStr">
        <is>
          <t>[name (role)]</t>
        </is>
      </c>
      <c r="C17" s="5" t="inlineStr">
        <is>
          <t>Employee</t>
        </is>
      </c>
      <c r="D17" s="11" t="inlineStr">
        <is>
          <t>[start date]</t>
        </is>
      </c>
      <c r="E17" s="11" t="inlineStr">
        <is>
          <t>[TRN-xx]</t>
        </is>
      </c>
      <c r="F17" s="5" t="n">
        <v>30</v>
      </c>
      <c r="G17" s="5">
        <f>IF(NOT(ISNUMBER(D17)),"",TEXT(D17+F17,"yyyy-mm-dd"))</f>
        <v/>
      </c>
      <c r="H17" s="11" t="inlineStr">
        <is>
          <t>[completed]</t>
        </is>
      </c>
      <c r="I17" s="11" t="inlineStr">
        <is>
          <t>[score]</t>
        </is>
      </c>
      <c r="J17" s="5">
        <f>IF(NOT(ISNUMBER(D17)),"",IF(ISNUMBER(H17),IF(H17&lt;=D17+F17,"Done","Done late"),IF(TODAY()&gt;D17+F17,"Overdue","Open")))</f>
        <v/>
      </c>
      <c r="K17" s="11" t="inlineStr">
        <is>
          <t>[evidence]</t>
        </is>
      </c>
      <c r="L17" s="11" t="inlineStr">
        <is>
          <t>[notes]</t>
        </is>
      </c>
    </row>
    <row r="18">
      <c r="A18" s="5" t="n"/>
      <c r="B18" s="5" t="n"/>
      <c r="C18" s="5" t="n"/>
      <c r="D18" s="5" t="n"/>
      <c r="E18" s="5" t="n"/>
      <c r="F18" s="5" t="n"/>
      <c r="G18" s="5">
        <f>IF(NOT(ISNUMBER(D18)),"",TEXT(D18+F18,"yyyy-mm-dd"))</f>
        <v/>
      </c>
      <c r="H18" s="5" t="n"/>
      <c r="I18" s="5" t="n"/>
      <c r="J18" s="5">
        <f>IF(NOT(ISNUMBER(D18)),"",IF(ISNUMBER(H18),IF(H18&lt;=D18+F18,"Done","Done late"),IF(TODAY()&gt;D18+F18,"Overdue","Open")))</f>
        <v/>
      </c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>
        <f>IF(NOT(ISNUMBER(D19)),"",TEXT(D19+F19,"yyyy-mm-dd"))</f>
        <v/>
      </c>
      <c r="H19" s="5" t="n"/>
      <c r="I19" s="5" t="n"/>
      <c r="J19" s="5">
        <f>IF(NOT(ISNUMBER(D19)),"",IF(ISNUMBER(H19),IF(H19&lt;=D19+F19,"Done","Done late"),IF(TODAY()&gt;D19+F19,"Overdue","Open")))</f>
        <v/>
      </c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>
        <f>IF(NOT(ISNUMBER(D20)),"",TEXT(D20+F20,"yyyy-mm-dd"))</f>
        <v/>
      </c>
      <c r="H20" s="5" t="n"/>
      <c r="I20" s="5" t="n"/>
      <c r="J20" s="5">
        <f>IF(NOT(ISNUMBER(D20)),"",IF(ISNUMBER(H20),IF(H20&lt;=D20+F20,"Done","Done late"),IF(TODAY()&gt;D20+F20,"Overdue","Open")))</f>
        <v/>
      </c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>
        <f>IF(NOT(ISNUMBER(D21)),"",TEXT(D21+F21,"yyyy-mm-dd"))</f>
        <v/>
      </c>
      <c r="H21" s="5" t="n"/>
      <c r="I21" s="5" t="n"/>
      <c r="J21" s="5">
        <f>IF(NOT(ISNUMBER(D21)),"",IF(ISNUMBER(H21),IF(H21&lt;=D21+F21,"Done","Done late"),IF(TODAY()&gt;D21+F21,"Overdue","Open")))</f>
        <v/>
      </c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>
        <f>IF(NOT(ISNUMBER(D22)),"",TEXT(D22+F22,"yyyy-mm-dd"))</f>
        <v/>
      </c>
      <c r="H22" s="5" t="n"/>
      <c r="I22" s="5" t="n"/>
      <c r="J22" s="5">
        <f>IF(NOT(ISNUMBER(D22)),"",IF(ISNUMBER(H22),IF(H22&lt;=D22+F22,"Done","Done late"),IF(TODAY()&gt;D22+F22,"Overdue","Open")))</f>
        <v/>
      </c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>
        <f>IF(NOT(ISNUMBER(D23)),"",TEXT(D23+F23,"yyyy-mm-dd"))</f>
        <v/>
      </c>
      <c r="H23" s="5" t="n"/>
      <c r="I23" s="5" t="n"/>
      <c r="J23" s="5">
        <f>IF(NOT(ISNUMBER(D23)),"",IF(ISNUMBER(H23),IF(H23&lt;=D23+F23,"Done","Done late"),IF(TODAY()&gt;D23+F23,"Overdue","Open")))</f>
        <v/>
      </c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>
        <f>IF(NOT(ISNUMBER(D24)),"",TEXT(D24+F24,"yyyy-mm-dd"))</f>
        <v/>
      </c>
      <c r="H24" s="5" t="n"/>
      <c r="I24" s="5" t="n"/>
      <c r="J24" s="5">
        <f>IF(NOT(ISNUMBER(D24)),"",IF(ISNUMBER(H24),IF(H24&lt;=D24+F24,"Done","Done late"),IF(TODAY()&gt;D24+F24,"Overdue","Open")))</f>
        <v/>
      </c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>
        <f>IF(NOT(ISNUMBER(D25)),"",TEXT(D25+F25,"yyyy-mm-dd"))</f>
        <v/>
      </c>
      <c r="H25" s="5" t="n"/>
      <c r="I25" s="5" t="n"/>
      <c r="J25" s="5">
        <f>IF(NOT(ISNUMBER(D25)),"",IF(ISNUMBER(H25),IF(H25&lt;=D25+F25,"Done","Done late"),IF(TODAY()&gt;D25+F25,"Overdue","Open")))</f>
        <v/>
      </c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>
        <f>IF(NOT(ISNUMBER(D26)),"",TEXT(D26+F26,"yyyy-mm-dd"))</f>
        <v/>
      </c>
      <c r="H26" s="5" t="n"/>
      <c r="I26" s="5" t="n"/>
      <c r="J26" s="5">
        <f>IF(NOT(ISNUMBER(D26)),"",IF(ISNUMBER(H26),IF(H26&lt;=D26+F26,"Done","Done late"),IF(TODAY()&gt;D26+F26,"Overdue","Open")))</f>
        <v/>
      </c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>
        <f>IF(NOT(ISNUMBER(D27)),"",TEXT(D27+F27,"yyyy-mm-dd"))</f>
        <v/>
      </c>
      <c r="H27" s="5" t="n"/>
      <c r="I27" s="5" t="n"/>
      <c r="J27" s="5">
        <f>IF(NOT(ISNUMBER(D27)),"",IF(ISNUMBER(H27),IF(H27&lt;=D27+F27,"Done","Done late"),IF(TODAY()&gt;D27+F27,"Overdue","Open")))</f>
        <v/>
      </c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>
        <f>IF(NOT(ISNUMBER(D28)),"",TEXT(D28+F28,"yyyy-mm-dd"))</f>
        <v/>
      </c>
      <c r="H28" s="5" t="n"/>
      <c r="I28" s="5" t="n"/>
      <c r="J28" s="5">
        <f>IF(NOT(ISNUMBER(D28)),"",IF(ISNUMBER(H28),IF(H28&lt;=D28+F28,"Done","Done late"),IF(TODAY()&gt;D28+F28,"Overdue","Open")))</f>
        <v/>
      </c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>
        <f>IF(NOT(ISNUMBER(D29)),"",TEXT(D29+F29,"yyyy-mm-dd"))</f>
        <v/>
      </c>
      <c r="H29" s="5" t="n"/>
      <c r="I29" s="5" t="n"/>
      <c r="J29" s="5">
        <f>IF(NOT(ISNUMBER(D29)),"",IF(ISNUMBER(H29),IF(H29&lt;=D29+F29,"Done","Done late"),IF(TODAY()&gt;D29+F29,"Overdue","Open")))</f>
        <v/>
      </c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>
        <f>IF(NOT(ISNUMBER(D30)),"",TEXT(D30+F30,"yyyy-mm-dd"))</f>
        <v/>
      </c>
      <c r="H30" s="5" t="n"/>
      <c r="I30" s="5" t="n"/>
      <c r="J30" s="5">
        <f>IF(NOT(ISNUMBER(D30)),"",IF(ISNUMBER(H30),IF(H30&lt;=D30+F30,"Done","Done late"),IF(TODAY()&gt;D30+F30,"Overdue","Open")))</f>
        <v/>
      </c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>
        <f>IF(NOT(ISNUMBER(D31)),"",TEXT(D31+F31,"yyyy-mm-dd"))</f>
        <v/>
      </c>
      <c r="H31" s="5" t="n"/>
      <c r="I31" s="5" t="n"/>
      <c r="J31" s="5">
        <f>IF(NOT(ISNUMBER(D31)),"",IF(ISNUMBER(H31),IF(H31&lt;=D31+F31,"Done","Done late"),IF(TODAY()&gt;D31+F31,"Overdue","Open")))</f>
        <v/>
      </c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>
        <f>IF(NOT(ISNUMBER(D32)),"",TEXT(D32+F32,"yyyy-mm-dd"))</f>
        <v/>
      </c>
      <c r="H32" s="5" t="n"/>
      <c r="I32" s="5" t="n"/>
      <c r="J32" s="5">
        <f>IF(NOT(ISNUMBER(D32)),"",IF(ISNUMBER(H32),IF(H32&lt;=D32+F32,"Done","Done late"),IF(TODAY()&gt;D32+F32,"Overdue","Open")))</f>
        <v/>
      </c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>
        <f>IF(NOT(ISNUMBER(D33)),"",TEXT(D33+F33,"yyyy-mm-dd"))</f>
        <v/>
      </c>
      <c r="H33" s="5" t="n"/>
      <c r="I33" s="5" t="n"/>
      <c r="J33" s="5">
        <f>IF(NOT(ISNUMBER(D33)),"",IF(ISNUMBER(H33),IF(H33&lt;=D33+F33,"Done","Done late"),IF(TODAY()&gt;D33+F33,"Overdue","Open")))</f>
        <v/>
      </c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>
        <f>IF(NOT(ISNUMBER(D34)),"",TEXT(D34+F34,"yyyy-mm-dd"))</f>
        <v/>
      </c>
      <c r="H34" s="5" t="n"/>
      <c r="I34" s="5" t="n"/>
      <c r="J34" s="5">
        <f>IF(NOT(ISNUMBER(D34)),"",IF(ISNUMBER(H34),IF(H34&lt;=D34+F34,"Done","Done late"),IF(TODAY()&gt;D34+F34,"Overdue","Open")))</f>
        <v/>
      </c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>
        <f>IF(NOT(ISNUMBER(D35)),"",TEXT(D35+F35,"yyyy-mm-dd"))</f>
        <v/>
      </c>
      <c r="H35" s="5" t="n"/>
      <c r="I35" s="5" t="n"/>
      <c r="J35" s="5">
        <f>IF(NOT(ISNUMBER(D35)),"",IF(ISNUMBER(H35),IF(H35&lt;=D35+F35,"Done","Done late"),IF(TODAY()&gt;D35+F35,"Overdue","Open")))</f>
        <v/>
      </c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>
        <f>IF(NOT(ISNUMBER(D36)),"",TEXT(D36+F36,"yyyy-mm-dd"))</f>
        <v/>
      </c>
      <c r="H36" s="5" t="n"/>
      <c r="I36" s="5" t="n"/>
      <c r="J36" s="5">
        <f>IF(NOT(ISNUMBER(D36)),"",IF(ISNUMBER(H36),IF(H36&lt;=D36+F36,"Done","Done late"),IF(TODAY()&gt;D36+F36,"Overdue","Open")))</f>
        <v/>
      </c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>
        <f>IF(NOT(ISNUMBER(D37)),"",TEXT(D37+F37,"yyyy-mm-dd"))</f>
        <v/>
      </c>
      <c r="H37" s="5" t="n"/>
      <c r="I37" s="5" t="n"/>
      <c r="J37" s="5">
        <f>IF(NOT(ISNUMBER(D37)),"",IF(ISNUMBER(H37),IF(H37&lt;=D37+F37,"Done","Done late"),IF(TODAY()&gt;D37+F37,"Overdue","Open")))</f>
        <v/>
      </c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>
        <f>IF(NOT(ISNUMBER(D38)),"",TEXT(D38+F38,"yyyy-mm-dd"))</f>
        <v/>
      </c>
      <c r="H38" s="5" t="n"/>
      <c r="I38" s="5" t="n"/>
      <c r="J38" s="5">
        <f>IF(NOT(ISNUMBER(D38)),"",IF(ISNUMBER(H38),IF(H38&lt;=D38+F38,"Done","Done late"),IF(TODAY()&gt;D38+F38,"Overdue","Open")))</f>
        <v/>
      </c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>
        <f>IF(NOT(ISNUMBER(D39)),"",TEXT(D39+F39,"yyyy-mm-dd"))</f>
        <v/>
      </c>
      <c r="H39" s="5" t="n"/>
      <c r="I39" s="5" t="n"/>
      <c r="J39" s="5">
        <f>IF(NOT(ISNUMBER(D39)),"",IF(ISNUMBER(H39),IF(H39&lt;=D39+F39,"Done","Done late"),IF(TODAY()&gt;D39+F39,"Overdue","Open")))</f>
        <v/>
      </c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>
        <f>IF(NOT(ISNUMBER(D40)),"",TEXT(D40+F40,"yyyy-mm-dd"))</f>
        <v/>
      </c>
      <c r="H40" s="5" t="n"/>
      <c r="I40" s="5" t="n"/>
      <c r="J40" s="5">
        <f>IF(NOT(ISNUMBER(D40)),"",IF(ISNUMBER(H40),IF(H40&lt;=D40+F40,"Done","Done late"),IF(TODAY()&gt;D40+F40,"Overdue","Open")))</f>
        <v/>
      </c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>
        <f>IF(NOT(ISNUMBER(D41)),"",TEXT(D41+F41,"yyyy-mm-dd"))</f>
        <v/>
      </c>
      <c r="H41" s="5" t="n"/>
      <c r="I41" s="5" t="n"/>
      <c r="J41" s="5">
        <f>IF(NOT(ISNUMBER(D41)),"",IF(ISNUMBER(H41),IF(H41&lt;=D41+F41,"Done","Done late"),IF(TODAY()&gt;D41+F41,"Overdue","Open")))</f>
        <v/>
      </c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>
        <f>IF(NOT(ISNUMBER(D42)),"",TEXT(D42+F42,"yyyy-mm-dd"))</f>
        <v/>
      </c>
      <c r="H42" s="5" t="n"/>
      <c r="I42" s="5" t="n"/>
      <c r="J42" s="5">
        <f>IF(NOT(ISNUMBER(D42)),"",IF(ISNUMBER(H42),IF(H42&lt;=D42+F42,"Done","Done late"),IF(TODAY()&gt;D42+F42,"Overdue","Open")))</f>
        <v/>
      </c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>
        <f>IF(NOT(ISNUMBER(D43)),"",TEXT(D43+F43,"yyyy-mm-dd"))</f>
        <v/>
      </c>
      <c r="H43" s="5" t="n"/>
      <c r="I43" s="5" t="n"/>
      <c r="J43" s="5">
        <f>IF(NOT(ISNUMBER(D43)),"",IF(ISNUMBER(H43),IF(H43&lt;=D43+F43,"Done","Done late"),IF(TODAY()&gt;D43+F43,"Overdue","Open")))</f>
        <v/>
      </c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>
        <f>IF(NOT(ISNUMBER(D44)),"",TEXT(D44+F44,"yyyy-mm-dd"))</f>
        <v/>
      </c>
      <c r="H44" s="5" t="n"/>
      <c r="I44" s="5" t="n"/>
      <c r="J44" s="5">
        <f>IF(NOT(ISNUMBER(D44)),"",IF(ISNUMBER(H44),IF(H44&lt;=D44+F44,"Done","Done late"),IF(TODAY()&gt;D44+F44,"Overdue","Open")))</f>
        <v/>
      </c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>
        <f>IF(NOT(ISNUMBER(D45)),"",TEXT(D45+F45,"yyyy-mm-dd"))</f>
        <v/>
      </c>
      <c r="H45" s="5" t="n"/>
      <c r="I45" s="5" t="n"/>
      <c r="J45" s="5">
        <f>IF(NOT(ISNUMBER(D45)),"",IF(ISNUMBER(H45),IF(H45&lt;=D45+F45,"Done","Done late"),IF(TODAY()&gt;D45+F45,"Overdue","Open")))</f>
        <v/>
      </c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>
        <f>IF(NOT(ISNUMBER(D46)),"",TEXT(D46+F46,"yyyy-mm-dd"))</f>
        <v/>
      </c>
      <c r="H46" s="5" t="n"/>
      <c r="I46" s="5" t="n"/>
      <c r="J46" s="5">
        <f>IF(NOT(ISNUMBER(D46)),"",IF(ISNUMBER(H46),IF(H46&lt;=D46+F46,"Done","Done late"),IF(TODAY()&gt;D46+F46,"Overdue","Open")))</f>
        <v/>
      </c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>
        <f>IF(NOT(ISNUMBER(D47)),"",TEXT(D47+F47,"yyyy-mm-dd"))</f>
        <v/>
      </c>
      <c r="H47" s="5" t="n"/>
      <c r="I47" s="5" t="n"/>
      <c r="J47" s="5">
        <f>IF(NOT(ISNUMBER(D47)),"",IF(ISNUMBER(H47),IF(H47&lt;=D47+F47,"Done","Done late"),IF(TODAY()&gt;D47+F47,"Overdue","Open")))</f>
        <v/>
      </c>
      <c r="K47" s="5" t="n"/>
      <c r="L47" s="5" t="n"/>
    </row>
  </sheetData>
  <autoFilter ref="A4:L47"/>
  <mergeCells count="1">
    <mergeCell ref="A2:L2"/>
  </mergeCells>
  <conditionalFormatting sqref="J5:J47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2">
    <dataValidation sqref="C5:C47" showDropDown="0" showInputMessage="0" showErrorMessage="0" allowBlank="1" errorTitle="Invalid value" error="Pick a value from the list." type="list">
      <formula1>"Employee,Contractor,Intern,Supplier staff"</formula1>
    </dataValidation>
    <dataValidation sqref="E5:E47" showDropDown="0" showInputMessage="0" showErrorMessage="0" allowBlank="1" errorTitle="Invalid value" error="Pick a value from the list." type="list">
      <formula1>"TRN-01,TRN-02,TRN-03,TRN-04,TRN-05,TRN-06,TRN-07,TRN-08,TRN-09"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48" customWidth="1" min="4" max="4"/>
    <col width="30" customWidth="1" min="5" max="5"/>
    <col width="30" customWidth="1" min="6" max="6"/>
    <col width="26" customWidth="1" min="7" max="7"/>
    <col width="12" customWidth="1" min="8" max="8"/>
  </cols>
  <sheetData>
    <row r="1">
      <c r="A1" s="8" t="inlineStr">
        <is>
          <t>Awareness campaign plan — one topic a month</t>
        </is>
      </c>
    </row>
    <row r="2" ht="30" customHeight="1">
      <c r="A2" s="3" t="inlineStr">
        <is>
          <t>Topics follow real risks and objectives. Keep each message to one sentence people can repeat.</t>
        </is>
      </c>
    </row>
    <row r="4" ht="32" customHeight="1">
      <c r="A4" s="9" t="inlineStr">
        <is>
          <t>Month</t>
        </is>
      </c>
      <c r="B4" s="9" t="inlineStr">
        <is>
          <t>Topic</t>
        </is>
      </c>
      <c r="C4" s="9" t="inlineStr">
        <is>
          <t>Linked risk / objective</t>
        </is>
      </c>
      <c r="D4" s="9" t="inlineStr">
        <is>
          <t>Key message</t>
        </is>
      </c>
      <c r="E4" s="9" t="inlineStr">
        <is>
          <t>Channels</t>
        </is>
      </c>
      <c r="F4" s="9" t="inlineStr">
        <is>
          <t>Owner</t>
        </is>
      </c>
      <c r="G4" s="9" t="inlineStr">
        <is>
          <t>Measure</t>
        </is>
      </c>
      <c r="H4" s="9" t="inlineStr">
        <is>
          <t>Status</t>
        </is>
      </c>
    </row>
    <row r="5">
      <c r="A5" s="5" t="inlineStr">
        <is>
          <t>2026-11</t>
        </is>
      </c>
      <c r="B5" s="5" t="inlineStr">
        <is>
          <t>Passkeys and phishing: why we report, not just ignore</t>
        </is>
      </c>
      <c r="C5" s="5" t="inlineStr">
        <is>
          <t>RSK-IS-002; OBJ-05</t>
        </is>
      </c>
      <c r="D5" s="5" t="inlineStr">
        <is>
          <t>A reported phish protects everyone. Use #trust-report.</t>
        </is>
      </c>
      <c r="E5" s="5" t="inlineStr">
        <is>
          <t>All-hands, #general, Q4 simulation</t>
        </is>
      </c>
      <c r="F5" s="5" t="inlineStr">
        <is>
          <t>[Security Lead]</t>
        </is>
      </c>
      <c r="G5" s="5" t="inlineStr">
        <is>
          <t>Report rate in Q4 simulation</t>
        </is>
      </c>
      <c r="H5" s="5" t="inlineStr">
        <is>
          <t>Planned</t>
        </is>
      </c>
    </row>
    <row r="6">
      <c r="A6" s="5" t="inlineStr">
        <is>
          <t>2026-12</t>
        </is>
      </c>
      <c r="B6" s="5" t="inlineStr">
        <is>
          <t>What never goes into an AI tool</t>
        </is>
      </c>
      <c r="C6" s="5" t="inlineStr">
        <is>
          <t>RSK-IS-003</t>
        </is>
      </c>
      <c r="D6" s="5" t="inlineStr">
        <is>
          <t>Customer scripts, artist portfolios, secrets and personal data stay out of unapproved AI tools.</t>
        </is>
      </c>
      <c r="E6" s="5" t="inlineStr">
        <is>
          <t>Wiki one-pager, #general quiz</t>
        </is>
      </c>
      <c r="F6" s="5" t="inlineStr">
        <is>
          <t>[Security Lead]</t>
        </is>
      </c>
      <c r="G6" s="5" t="inlineStr">
        <is>
          <t>Data-loss alerts per month</t>
        </is>
      </c>
      <c r="H6" s="5" t="inlineStr">
        <is>
          <t>Planned</t>
        </is>
      </c>
    </row>
    <row r="7">
      <c r="A7" s="5" t="inlineStr">
        <is>
          <t>2027-01</t>
        </is>
      </c>
      <c r="B7" s="5" t="inlineStr">
        <is>
          <t>AI literacy refresher: limits of ScriptMate and StoryFrame</t>
        </is>
      </c>
      <c r="C7" s="5" t="inlineStr">
        <is>
          <t>RSK-AI-004; EU AI Act Art. 4</t>
        </is>
      </c>
      <c r="D7" s="5" t="inlineStr">
        <is>
          <t>AI drafts, people decide. Check outputs before sharing.</t>
        </is>
      </c>
      <c r="E7" s="5" t="inlineStr">
        <is>
          <t>Lunch-and-learn (recorded)</t>
        </is>
      </c>
      <c r="F7" s="5" t="inlineStr">
        <is>
          <t>[Head of AI]</t>
        </is>
      </c>
      <c r="G7" s="5" t="inlineStr">
        <is>
          <t>Attendance; pulse survey</t>
        </is>
      </c>
      <c r="H7" s="5" t="inlineStr">
        <is>
          <t>Planned</t>
        </is>
      </c>
    </row>
    <row r="8">
      <c r="A8" s="5" t="inlineStr">
        <is>
          <t>2027-02</t>
        </is>
      </c>
      <c r="B8" s="5" t="inlineStr">
        <is>
          <t>Labels and content credentials stay on</t>
        </is>
      </c>
      <c r="C8" s="5" t="inlineStr">
        <is>
          <t>RSK-AI-002</t>
        </is>
      </c>
      <c r="D8" s="5" t="inlineStr">
        <is>
          <t>Never strip the 'AI-assisted' label or C2PA data.</t>
        </is>
      </c>
      <c r="E8" s="5" t="inlineStr">
        <is>
          <t>All-hands, Canvas release notes</t>
        </is>
      </c>
      <c r="F8" s="5" t="inlineStr">
        <is>
          <t>[Creative Director]</t>
        </is>
      </c>
      <c r="G8" s="5" t="inlineStr">
        <is>
          <t>Label-removal tickets</t>
        </is>
      </c>
      <c r="H8" s="5" t="inlineStr">
        <is>
          <t>Planned</t>
        </is>
      </c>
    </row>
    <row r="9">
      <c r="A9" s="5" t="inlineStr">
        <is>
          <t>2027-03</t>
        </is>
      </c>
      <c r="B9" s="5" t="inlineStr">
        <is>
          <t>Artist consent and opt-outs</t>
        </is>
      </c>
      <c r="C9" s="5" t="inlineStr">
        <is>
          <t>RSK-AI-001; OBJ-03</t>
        </is>
      </c>
      <c r="D9" s="5" t="inlineStr">
        <is>
          <t>No consent record, no training data.</t>
        </is>
      </c>
      <c r="E9" s="5" t="inlineStr">
        <is>
          <t>Data team stand-up, #general</t>
        </is>
      </c>
      <c r="F9" s="5" t="inlineStr">
        <is>
          <t>[Data and ML Lead]</t>
        </is>
      </c>
      <c r="G9" s="5" t="inlineStr">
        <is>
          <t>Opt-out requests &gt; 14 days</t>
        </is>
      </c>
      <c r="H9" s="5" t="inlineStr">
        <is>
          <t>Planned</t>
        </is>
      </c>
    </row>
    <row r="10">
      <c r="A10" s="5" t="inlineStr">
        <is>
          <t>2027-04</t>
        </is>
      </c>
      <c r="B10" s="5" t="inlineStr">
        <is>
          <t>Reporting AI concerns and adverse impacts</t>
        </is>
      </c>
      <c r="C10" s="5" t="inlineStr">
        <is>
          <t>OBJ-02</t>
        </is>
      </c>
      <c r="D10" s="5" t="inlineStr">
        <is>
          <t>If an output looks harmful or unfair, report it — you will not be blamed.</t>
        </is>
      </c>
      <c r="E10" s="5" t="inlineStr">
        <is>
          <t>All-hands story</t>
        </is>
      </c>
      <c r="F10" s="5" t="inlineStr">
        <is>
          <t>[Head of AI]</t>
        </is>
      </c>
      <c r="G10" s="5" t="inlineStr">
        <is>
          <t>AI concern reports per month</t>
        </is>
      </c>
      <c r="H10" s="5" t="inlineStr">
        <is>
          <t>Planned</t>
        </is>
      </c>
    </row>
    <row r="11">
      <c r="A11" s="5" t="inlineStr">
        <is>
          <t>2027-05</t>
        </is>
      </c>
      <c r="B11" s="5" t="inlineStr">
        <is>
          <t>Clean desk, clean screen, safe travel</t>
        </is>
      </c>
      <c r="C11" s="5" t="inlineStr">
        <is>
          <t>Remote working</t>
        </is>
      </c>
      <c r="D11" s="5" t="inlineStr">
        <is>
          <t>Lock your screen; no customer work on shared screens in cafés.</t>
        </is>
      </c>
      <c r="E11" s="5" t="inlineStr">
        <is>
          <t>#general, wiki</t>
        </is>
      </c>
      <c r="F11" s="5" t="inlineStr">
        <is>
          <t>[People and Operations Lead]</t>
        </is>
      </c>
      <c r="G11" s="5" t="inlineStr">
        <is>
          <t>Spot checks (Dubai office)</t>
        </is>
      </c>
      <c r="H11" s="5" t="inlineStr">
        <is>
          <t>Planned</t>
        </is>
      </c>
    </row>
    <row r="12">
      <c r="A12" s="5" t="inlineStr">
        <is>
          <t>2027-06</t>
        </is>
      </c>
      <c r="B12" s="5" t="inlineStr">
        <is>
          <t>Fairness in ArtistMatch</t>
        </is>
      </c>
      <c r="C12" s="5" t="inlineStr">
        <is>
          <t>RSK-AI-003; OBJ-06</t>
        </is>
      </c>
      <c r="D12" s="5" t="inlineStr">
        <is>
          <t>How we measure fair exposure and why it matters to artists' income.</t>
        </is>
      </c>
      <c r="E12" s="5" t="inlineStr">
        <is>
          <t>Product all-hands</t>
        </is>
      </c>
      <c r="F12" s="5" t="inlineStr">
        <is>
          <t>[Head of AI]</t>
        </is>
      </c>
      <c r="G12" s="5" t="inlineStr">
        <is>
          <t>Exposure ratio trend</t>
        </is>
      </c>
      <c r="H12" s="5" t="inlineStr">
        <is>
          <t>Planned</t>
        </is>
      </c>
    </row>
    <row r="13">
      <c r="A13" s="5" t="inlineStr">
        <is>
          <t>2026-09</t>
        </is>
      </c>
      <c r="B13" s="5" t="inlineStr">
        <is>
          <t>Contractor onboarding reminder (after audit)</t>
        </is>
      </c>
      <c r="C13" s="5" t="inlineStr">
        <is>
          <t>NC-2026-004</t>
        </is>
      </c>
      <c r="D13" s="5" t="inlineStr">
        <is>
          <t>All contractors go through People Ops; training within 30 days.</t>
        </is>
      </c>
      <c r="E13" s="5" t="inlineStr">
        <is>
          <t>Manager email</t>
        </is>
      </c>
      <c r="F13" s="5" t="inlineStr">
        <is>
          <t>[People and Operations Lead]</t>
        </is>
      </c>
      <c r="G13" s="5" t="inlineStr">
        <is>
          <t>Contractors trained on time</t>
        </is>
      </c>
      <c r="H13" s="5" t="inlineStr">
        <is>
          <t>Done</t>
        </is>
      </c>
    </row>
    <row r="14">
      <c r="A14" s="11" t="inlineStr">
        <is>
          <t>[yyyy-mm]</t>
        </is>
      </c>
      <c r="B14" s="11" t="inlineStr">
        <is>
          <t>[topic]</t>
        </is>
      </c>
      <c r="C14" s="11" t="inlineStr">
        <is>
          <t>[risk / objective]</t>
        </is>
      </c>
      <c r="D14" s="11" t="inlineStr">
        <is>
          <t>[key message]</t>
        </is>
      </c>
      <c r="E14" s="11" t="inlineStr">
        <is>
          <t>[channels]</t>
        </is>
      </c>
      <c r="F14" s="11" t="inlineStr">
        <is>
          <t>[owner]</t>
        </is>
      </c>
      <c r="G14" s="11" t="inlineStr">
        <is>
          <t>[measure]</t>
        </is>
      </c>
      <c r="H14" s="5" t="inlineStr">
        <is>
          <t>Planned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</sheetData>
  <autoFilter ref="A4:H44"/>
  <mergeCells count="1">
    <mergeCell ref="A2:H2"/>
  </mergeCells>
  <conditionalFormatting sqref="H5:H44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1">
    <dataValidation sqref="H5:H44" showDropDown="0" showInputMessage="0" showErrorMessage="0" allowBlank="1" errorTitle="Invalid value" error="Pick a value from the list." type="list">
      <formula1>"Planned,In progress,Done"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1" customWidth="1" min="4" max="4"/>
    <col width="11" customWidth="1" min="5" max="5"/>
    <col width="30" customWidth="1" min="6" max="6"/>
    <col width="32" customWidth="1" min="7" max="7"/>
    <col width="30" customWidth="1" min="8" max="8"/>
    <col width="26" customWidth="1" min="9" max="9"/>
    <col width="30" customWidth="1" min="10" max="10"/>
    <col width="22" customWidth="1" min="11" max="11"/>
    <col width="14" customWidth="1" min="12" max="12"/>
  </cols>
  <sheetData>
    <row r="1">
      <c r="A1" s="8" t="inlineStr">
        <is>
          <t>Communication plan — what, with whom, when, how, who</t>
        </is>
      </c>
    </row>
    <row r="2" ht="30" customHeight="1">
      <c r="A2" s="3" t="inlineStr">
        <is>
          <t>Internal and external communication for both standards, including AI-specific information for users and interested parties (ISO/IEC 42001 A.8.2–A.8.5).</t>
        </is>
      </c>
    </row>
    <row r="4" ht="32" customHeight="1">
      <c r="A4" s="9" t="inlineStr">
        <is>
          <t>ID</t>
        </is>
      </c>
      <c r="B4" s="9" t="inlineStr">
        <is>
          <t>What</t>
        </is>
      </c>
      <c r="C4" s="9" t="inlineStr">
        <is>
          <t>With whom</t>
        </is>
      </c>
      <c r="D4" s="9" t="inlineStr">
        <is>
          <t>Internal / External</t>
        </is>
      </c>
      <c r="E4" s="9" t="inlineStr">
        <is>
          <t>Direction</t>
        </is>
      </c>
      <c r="F4" s="9" t="inlineStr">
        <is>
          <t>When / trigger</t>
        </is>
      </c>
      <c r="G4" s="9" t="inlineStr">
        <is>
          <t>How</t>
        </is>
      </c>
      <c r="H4" s="9" t="inlineStr">
        <is>
          <t>Who communicates</t>
        </is>
      </c>
      <c r="I4" s="9" t="inlineStr">
        <is>
          <t>Approver</t>
        </is>
      </c>
      <c r="J4" s="9" t="inlineStr">
        <is>
          <t>Obligation / standard</t>
        </is>
      </c>
      <c r="K4" s="9" t="inlineStr">
        <is>
          <t>Record kept</t>
        </is>
      </c>
      <c r="L4" s="9" t="inlineStr">
        <is>
          <t>Status</t>
        </is>
      </c>
    </row>
    <row r="5">
      <c r="A5" s="5" t="inlineStr">
        <is>
          <t>COM-01</t>
        </is>
      </c>
      <c r="B5" s="5" t="inlineStr">
        <is>
          <t>Policy and procedure changes</t>
        </is>
      </c>
      <c r="C5" s="5" t="inlineStr">
        <is>
          <t>All staff and contractors</t>
        </is>
      </c>
      <c r="D5" s="5" t="inlineStr">
        <is>
          <t>Internal</t>
        </is>
      </c>
      <c r="E5" s="5" t="inlineStr">
        <is>
          <t>Outbound</t>
        </is>
      </c>
      <c r="F5" s="5" t="inlineStr">
        <is>
          <t>Within 5 working days of approval</t>
        </is>
      </c>
      <c r="G5" s="5" t="inlineStr">
        <is>
          <t>#announcements, wiki change log, acknowledgement in HR system</t>
        </is>
      </c>
      <c r="H5" s="5" t="inlineStr">
        <is>
          <t>[Compliance Coordinator]</t>
        </is>
      </c>
      <c r="I5" s="5" t="inlineStr">
        <is>
          <t>Document owner</t>
        </is>
      </c>
      <c r="J5" s="5" t="inlineStr">
        <is>
          <t>27001 / 42001 7.3, 7.5</t>
        </is>
      </c>
      <c r="K5" s="5" t="inlineStr">
        <is>
          <t>Message link; acknowledgements</t>
        </is>
      </c>
      <c r="L5" s="5" t="inlineStr">
        <is>
          <t>Implemented</t>
        </is>
      </c>
    </row>
    <row r="6">
      <c r="A6" s="5" t="inlineStr">
        <is>
          <t>COM-02</t>
        </is>
      </c>
      <c r="B6" s="5" t="inlineStr">
        <is>
          <t>Monthly Trust Council pack (risks, objectives, incidents, audits)</t>
        </is>
      </c>
      <c r="C6" s="5" t="inlineStr">
        <is>
          <t>Trust Council</t>
        </is>
      </c>
      <c r="D6" s="5" t="inlineStr">
        <is>
          <t>Internal</t>
        </is>
      </c>
      <c r="E6" s="5" t="inlineStr">
        <is>
          <t>Two-way</t>
        </is>
      </c>
      <c r="F6" s="5" t="inlineStr">
        <is>
          <t>Monthly</t>
        </is>
      </c>
      <c r="G6" s="5" t="inlineStr">
        <is>
          <t>Shared doc + meeting</t>
        </is>
      </c>
      <c r="H6" s="5" t="inlineStr">
        <is>
          <t>[Compliance Coordinator]</t>
        </is>
      </c>
      <c r="I6" s="5" t="inlineStr">
        <is>
          <t>[CEO]</t>
        </is>
      </c>
      <c r="J6" s="5" t="inlineStr">
        <is>
          <t>27001 / 42001 9.3</t>
        </is>
      </c>
      <c r="K6" s="5" t="inlineStr">
        <is>
          <t>Minutes</t>
        </is>
      </c>
      <c r="L6" s="5" t="inlineStr">
        <is>
          <t>Implemented</t>
        </is>
      </c>
    </row>
    <row r="7">
      <c r="A7" s="5" t="inlineStr">
        <is>
          <t>COM-03</t>
        </is>
      </c>
      <c r="B7" s="5" t="inlineStr">
        <is>
          <t>Awareness topic of the month</t>
        </is>
      </c>
      <c r="C7" s="5" t="inlineStr">
        <is>
          <t>All staff</t>
        </is>
      </c>
      <c r="D7" s="5" t="inlineStr">
        <is>
          <t>Internal</t>
        </is>
      </c>
      <c r="E7" s="5" t="inlineStr">
        <is>
          <t>Outbound</t>
        </is>
      </c>
      <c r="F7" s="5" t="inlineStr">
        <is>
          <t>Monthly</t>
        </is>
      </c>
      <c r="G7" s="5" t="inlineStr">
        <is>
          <t>All-hands slot, #general, wiki</t>
        </is>
      </c>
      <c r="H7" s="5" t="inlineStr">
        <is>
          <t>[People and Operations Lead]</t>
        </is>
      </c>
      <c r="I7" s="5" t="inlineStr">
        <is>
          <t>[Security Lead]</t>
        </is>
      </c>
      <c r="J7" s="5" t="inlineStr">
        <is>
          <t>27001 7.3, A 6.3; 42001 7.3</t>
        </is>
      </c>
      <c r="K7" s="5" t="inlineStr">
        <is>
          <t>Campaign sheet</t>
        </is>
      </c>
      <c r="L7" s="5" t="inlineStr">
        <is>
          <t>Implemented</t>
        </is>
      </c>
    </row>
    <row r="8">
      <c r="A8" s="5" t="inlineStr">
        <is>
          <t>COM-04</t>
        </is>
      </c>
      <c r="B8" s="5" t="inlineStr">
        <is>
          <t>Reporting events, weaknesses and AI concerns</t>
        </is>
      </c>
      <c r="C8" s="5" t="inlineStr">
        <is>
          <t>All staff and contractors</t>
        </is>
      </c>
      <c r="D8" s="5" t="inlineStr">
        <is>
          <t>Internal</t>
        </is>
      </c>
      <c r="E8" s="5" t="inlineStr">
        <is>
          <t>Inbound</t>
        </is>
      </c>
      <c r="F8" s="5" t="inlineStr">
        <is>
          <t>Any time</t>
        </is>
      </c>
      <c r="G8" s="5" t="inlineStr">
        <is>
          <t>#trust-report, trust@quillfen.example</t>
        </is>
      </c>
      <c r="H8" s="5" t="inlineStr">
        <is>
          <t>Everyone</t>
        </is>
      </c>
      <c r="I8" s="5" t="inlineStr">
        <is>
          <t>—</t>
        </is>
      </c>
      <c r="J8" s="5" t="inlineStr">
        <is>
          <t>27001 A 6.8; 42001 A.8.3</t>
        </is>
      </c>
      <c r="K8" s="5" t="inlineStr">
        <is>
          <t>Incident log</t>
        </is>
      </c>
      <c r="L8" s="5" t="inlineStr">
        <is>
          <t>Implemented</t>
        </is>
      </c>
    </row>
    <row r="9">
      <c r="A9" s="5" t="inlineStr">
        <is>
          <t>COM-05</t>
        </is>
      </c>
      <c r="B9" s="5" t="inlineStr">
        <is>
          <t>AI system summary pages (purpose, limits, data, labels)</t>
        </is>
      </c>
      <c r="C9" s="5" t="inlineStr">
        <is>
          <t>Canvas and API customers</t>
        </is>
      </c>
      <c r="D9" s="5" t="inlineStr">
        <is>
          <t>External</t>
        </is>
      </c>
      <c r="E9" s="5" t="inlineStr">
        <is>
          <t>Outbound</t>
        </is>
      </c>
      <c r="F9" s="5" t="inlineStr">
        <is>
          <t>Before each approved AI release; reviewed quarterly</t>
        </is>
      </c>
      <c r="G9" s="5" t="inlineStr">
        <is>
          <t>Help centre, API docs</t>
        </is>
      </c>
      <c r="H9" s="5" t="inlineStr">
        <is>
          <t>[Head of AI]</t>
        </is>
      </c>
      <c r="I9" s="5" t="inlineStr">
        <is>
          <t>AI Release Review</t>
        </is>
      </c>
      <c r="J9" s="5" t="inlineStr">
        <is>
          <t>42001 A.8.2; EU AI Act Art. 50</t>
        </is>
      </c>
      <c r="K9" s="5" t="inlineStr">
        <is>
          <t>Page version history</t>
        </is>
      </c>
      <c r="L9" s="5" t="inlineStr">
        <is>
          <t>Implemented</t>
        </is>
      </c>
    </row>
    <row r="10">
      <c r="A10" s="5" t="inlineStr">
        <is>
          <t>COM-06</t>
        </is>
      </c>
      <c r="B10" s="5" t="inlineStr">
        <is>
          <t>How ArtistMatch ranks artists</t>
        </is>
      </c>
      <c r="C10" s="5" t="inlineStr">
        <is>
          <t>Artists, commissioning customers</t>
        </is>
      </c>
      <c r="D10" s="5" t="inlineStr">
        <is>
          <t>External</t>
        </is>
      </c>
      <c r="E10" s="5" t="inlineStr">
        <is>
          <t>Outbound</t>
        </is>
      </c>
      <c r="F10" s="5" t="inlineStr">
        <is>
          <t>Kept current; 15 days' notice of material changes</t>
        </is>
      </c>
      <c r="G10" s="5" t="inlineStr">
        <is>
          <t>Commons help centre, artist newsletter</t>
        </is>
      </c>
      <c r="H10" s="5" t="inlineStr">
        <is>
          <t>[Creative Director]</t>
        </is>
      </c>
      <c r="I10" s="5" t="inlineStr">
        <is>
          <t>[Head of AI]</t>
        </is>
      </c>
      <c r="J10" s="5" t="inlineStr">
        <is>
          <t>42001 A.8.2, A.8.5; EU P2B ranking transparency</t>
        </is>
      </c>
      <c r="K10" s="5" t="inlineStr">
        <is>
          <t>Page history, newsletter archive</t>
        </is>
      </c>
      <c r="L10" s="5" t="inlineStr">
        <is>
          <t>Partially implemented</t>
        </is>
      </c>
    </row>
    <row r="11">
      <c r="A11" s="5" t="inlineStr">
        <is>
          <t>COM-07</t>
        </is>
      </c>
      <c r="B11" s="5" t="inlineStr">
        <is>
          <t>Report an AI concern / adverse impact</t>
        </is>
      </c>
      <c r="C11" s="5" t="inlineStr">
        <is>
          <t>Customers, artists, public</t>
        </is>
      </c>
      <c r="D11" s="5" t="inlineStr">
        <is>
          <t>External</t>
        </is>
      </c>
      <c r="E11" s="5" t="inlineStr">
        <is>
          <t>Inbound</t>
        </is>
      </c>
      <c r="F11" s="5" t="inlineStr">
        <is>
          <t>Any time; acknowledge within 2 working days</t>
        </is>
      </c>
      <c r="G11" s="5" t="inlineStr">
        <is>
          <t>In-app form, trust@quillfen.example</t>
        </is>
      </c>
      <c r="H11" s="5" t="inlineStr">
        <is>
          <t>[Head of AI]</t>
        </is>
      </c>
      <c r="I11" s="5" t="inlineStr">
        <is>
          <t>—</t>
        </is>
      </c>
      <c r="J11" s="5" t="inlineStr">
        <is>
          <t>42001 A.8.3</t>
        </is>
      </c>
      <c r="K11" s="5" t="inlineStr">
        <is>
          <t>Ticket queue</t>
        </is>
      </c>
      <c r="L11" s="5" t="inlineStr">
        <is>
          <t>Implemented</t>
        </is>
      </c>
    </row>
    <row r="12">
      <c r="A12" s="5" t="inlineStr">
        <is>
          <t>COM-08</t>
        </is>
      </c>
      <c r="B12" s="5" t="inlineStr">
        <is>
          <t>Incident notification to affected customers / artists</t>
        </is>
      </c>
      <c r="C12" s="5" t="inlineStr">
        <is>
          <t>Affected parties</t>
        </is>
      </c>
      <c r="D12" s="5" t="inlineStr">
        <is>
          <t>External</t>
        </is>
      </c>
      <c r="E12" s="5" t="inlineStr">
        <is>
          <t>Outbound</t>
        </is>
      </c>
      <c r="F12" s="5" t="inlineStr">
        <is>
          <t>Default within 48 hours; sooner for S1 or if the contract says so</t>
        </is>
      </c>
      <c r="G12" s="5" t="inlineStr">
        <is>
          <t>Email, in-app banner, status page</t>
        </is>
      </c>
      <c r="H12" s="5" t="inlineStr">
        <is>
          <t>[Security Lead]</t>
        </is>
      </c>
      <c r="I12" s="5" t="inlineStr">
        <is>
          <t>[CEO] for S1/S2</t>
        </is>
      </c>
      <c r="J12" s="5" t="inlineStr">
        <is>
          <t>27001 A 5.24, 5.26; 42001 A.8.4</t>
        </is>
      </c>
      <c r="K12" s="5" t="inlineStr">
        <is>
          <t>Incident record</t>
        </is>
      </c>
      <c r="L12" s="5" t="inlineStr">
        <is>
          <t>Implemented</t>
        </is>
      </c>
    </row>
    <row r="13">
      <c r="A13" s="5" t="inlineStr">
        <is>
          <t>COM-09</t>
        </is>
      </c>
      <c r="B13" s="5" t="inlineStr">
        <is>
          <t>Personal-data breach notification</t>
        </is>
      </c>
      <c r="C13" s="5" t="inlineStr">
        <is>
          <t>Data protection authorities; data subjects</t>
        </is>
      </c>
      <c r="D13" s="5" t="inlineStr">
        <is>
          <t>External</t>
        </is>
      </c>
      <c r="E13" s="5" t="inlineStr">
        <is>
          <t>Outbound</t>
        </is>
      </c>
      <c r="F13" s="5" t="inlineStr">
        <is>
          <t>Within legal deadlines (GDPR: 72 hours to authority)</t>
        </is>
      </c>
      <c r="G13" s="5" t="inlineStr">
        <is>
          <t>Regulator portal, email</t>
        </is>
      </c>
      <c r="H13" s="5" t="inlineStr">
        <is>
          <t>[Privacy and Legal Lead]</t>
        </is>
      </c>
      <c r="I13" s="5" t="inlineStr">
        <is>
          <t>[CEO]</t>
        </is>
      </c>
      <c r="J13" s="5" t="inlineStr">
        <is>
          <t>27001 A 5.5, 5.34; GDPR Art. 33–34; UAE PDPL</t>
        </is>
      </c>
      <c r="K13" s="5" t="inlineStr">
        <is>
          <t>Legal file</t>
        </is>
      </c>
      <c r="L13" s="5" t="inlineStr">
        <is>
          <t>Implemented</t>
        </is>
      </c>
    </row>
    <row r="14">
      <c r="A14" s="5" t="inlineStr">
        <is>
          <t>COM-10</t>
        </is>
      </c>
      <c r="B14" s="5" t="inlineStr">
        <is>
          <t>Trust Centre: certifications, policies summary, sub-processors</t>
        </is>
      </c>
      <c r="C14" s="5" t="inlineStr">
        <is>
          <t>Prospects and customers</t>
        </is>
      </c>
      <c r="D14" s="5" t="inlineStr">
        <is>
          <t>External</t>
        </is>
      </c>
      <c r="E14" s="5" t="inlineStr">
        <is>
          <t>Outbound</t>
        </is>
      </c>
      <c r="F14" s="5" t="inlineStr">
        <is>
          <t>Quarterly and after changes</t>
        </is>
      </c>
      <c r="G14" s="5" t="inlineStr">
        <is>
          <t>Trust Centre web page</t>
        </is>
      </c>
      <c r="H14" s="5" t="inlineStr">
        <is>
          <t>[Security Lead]</t>
        </is>
      </c>
      <c r="I14" s="5" t="inlineStr">
        <is>
          <t>[CEO]</t>
        </is>
      </c>
      <c r="J14" s="5" t="inlineStr">
        <is>
          <t>42001 A.8.5; customer contracts</t>
        </is>
      </c>
      <c r="K14" s="5" t="inlineStr">
        <is>
          <t>Page history</t>
        </is>
      </c>
      <c r="L14" s="5" t="inlineStr">
        <is>
          <t>In progress</t>
        </is>
      </c>
    </row>
    <row r="15">
      <c r="A15" s="5" t="inlineStr">
        <is>
          <t>COM-11</t>
        </is>
      </c>
      <c r="B15" s="5" t="inlineStr">
        <is>
          <t>Security and AI requirements for suppliers; model-change notices</t>
        </is>
      </c>
      <c r="C15" s="5" t="inlineStr">
        <is>
          <t>AI and cloud suppliers</t>
        </is>
      </c>
      <c r="D15" s="5" t="inlineStr">
        <is>
          <t>External</t>
        </is>
      </c>
      <c r="E15" s="5" t="inlineStr">
        <is>
          <t>Two-way</t>
        </is>
      </c>
      <c r="F15" s="5" t="inlineStr">
        <is>
          <t>Onboarding, renewal, and on any supplier model change</t>
        </is>
      </c>
      <c r="G15" s="5" t="inlineStr">
        <is>
          <t>Contract schedules, email</t>
        </is>
      </c>
      <c r="H15" s="5" t="inlineStr">
        <is>
          <t>[Privacy and Legal Lead]</t>
        </is>
      </c>
      <c r="I15" s="5" t="inlineStr">
        <is>
          <t>[Head of AI]</t>
        </is>
      </c>
      <c r="J15" s="5" t="inlineStr">
        <is>
          <t>27001 A 5.20, 5.22; 42001 A.10.3</t>
        </is>
      </c>
      <c r="K15" s="5" t="inlineStr">
        <is>
          <t>Supplier file</t>
        </is>
      </c>
      <c r="L15" s="5" t="inlineStr">
        <is>
          <t>In progress</t>
        </is>
      </c>
    </row>
    <row r="16">
      <c r="A16" s="5" t="inlineStr">
        <is>
          <t>COM-12</t>
        </is>
      </c>
      <c r="B16" s="5" t="inlineStr">
        <is>
          <t>Contact with authorities and special interest groups</t>
        </is>
      </c>
      <c r="C16" s="5" t="inlineStr">
        <is>
          <t>UAE and EU/UK authorities; CERTs; industry groups</t>
        </is>
      </c>
      <c r="D16" s="5" t="inlineStr">
        <is>
          <t>External</t>
        </is>
      </c>
      <c r="E16" s="5" t="inlineStr">
        <is>
          <t>Two-way</t>
        </is>
      </c>
      <c r="F16" s="5" t="inlineStr">
        <is>
          <t>As needed; contact list checked every 6 months</t>
        </is>
      </c>
      <c r="G16" s="5" t="inlineStr">
        <is>
          <t>Wiki contact list</t>
        </is>
      </c>
      <c r="H16" s="5" t="inlineStr">
        <is>
          <t>[Security Lead]</t>
        </is>
      </c>
      <c r="I16" s="5" t="inlineStr">
        <is>
          <t>—</t>
        </is>
      </c>
      <c r="J16" s="5" t="inlineStr">
        <is>
          <t>27001 A 5.5, 5.6</t>
        </is>
      </c>
      <c r="K16" s="5" t="inlineStr">
        <is>
          <t>Contact list</t>
        </is>
      </c>
      <c r="L16" s="5" t="inlineStr">
        <is>
          <t>Implemented</t>
        </is>
      </c>
    </row>
    <row r="17">
      <c r="A17" s="5" t="inlineStr">
        <is>
          <t>COM-13</t>
        </is>
      </c>
      <c r="B17" s="5" t="inlineStr">
        <is>
          <t>Vulnerability disclosure</t>
        </is>
      </c>
      <c r="C17" s="5" t="inlineStr">
        <is>
          <t>Security researchers</t>
        </is>
      </c>
      <c r="D17" s="5" t="inlineStr">
        <is>
          <t>External</t>
        </is>
      </c>
      <c r="E17" s="5" t="inlineStr">
        <is>
          <t>Inbound</t>
        </is>
      </c>
      <c r="F17" s="5" t="inlineStr">
        <is>
          <t>Acknowledge within 3 working days</t>
        </is>
      </c>
      <c r="G17" s="5" t="inlineStr">
        <is>
          <t>security.txt, disclosure page</t>
        </is>
      </c>
      <c r="H17" s="5" t="inlineStr">
        <is>
          <t>[Security Lead]</t>
        </is>
      </c>
      <c r="I17" s="5" t="inlineStr">
        <is>
          <t>—</t>
        </is>
      </c>
      <c r="J17" s="5" t="inlineStr">
        <is>
          <t>27001 A 8.8</t>
        </is>
      </c>
      <c r="K17" s="5" t="inlineStr">
        <is>
          <t>Ticket queue</t>
        </is>
      </c>
      <c r="L17" s="5" t="inlineStr">
        <is>
          <t>Implemented</t>
        </is>
      </c>
    </row>
    <row r="18">
      <c r="A18" s="11" t="inlineStr">
        <is>
          <t>[COM-xx]</t>
        </is>
      </c>
      <c r="B18" s="11" t="inlineStr">
        <is>
          <t>[what]</t>
        </is>
      </c>
      <c r="C18" s="11" t="inlineStr">
        <is>
          <t>[with whom]</t>
        </is>
      </c>
      <c r="D18" s="5" t="inlineStr">
        <is>
          <t>Internal</t>
        </is>
      </c>
      <c r="E18" s="5" t="inlineStr">
        <is>
          <t>Outbound</t>
        </is>
      </c>
      <c r="F18" s="11" t="inlineStr">
        <is>
          <t>[when / trigger]</t>
        </is>
      </c>
      <c r="G18" s="11" t="inlineStr">
        <is>
          <t>[how]</t>
        </is>
      </c>
      <c r="H18" s="11" t="inlineStr">
        <is>
          <t>[who]</t>
        </is>
      </c>
      <c r="I18" s="11" t="inlineStr">
        <is>
          <t>[approver]</t>
        </is>
      </c>
      <c r="J18" s="11" t="inlineStr">
        <is>
          <t>[obligation]</t>
        </is>
      </c>
      <c r="K18" s="11" t="inlineStr">
        <is>
          <t>[record]</t>
        </is>
      </c>
      <c r="L18" s="5" t="inlineStr">
        <is>
          <t>Planned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</sheetData>
  <autoFilter ref="A4:L48"/>
  <mergeCells count="1">
    <mergeCell ref="A2:L2"/>
  </mergeCells>
  <conditionalFormatting sqref="L5:L48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3">
    <dataValidation sqref="D5:D48" showDropDown="0" showInputMessage="0" showErrorMessage="0" allowBlank="1" errorTitle="Invalid value" error="Pick a value from the list." type="list">
      <formula1>"Internal,External"</formula1>
    </dataValidation>
    <dataValidation sqref="E5:E48" showDropDown="0" showInputMessage="0" showErrorMessage="0" allowBlank="1" errorTitle="Invalid value" error="Pick a value from the list." type="list">
      <formula1>"Outbound,Inbound,Two-way"</formula1>
    </dataValidation>
    <dataValidation sqref="L5:L48" showDropDown="0" showInputMessage="0" showErrorMessage="0" allowBlank="1" errorTitle="Invalid value" error="Pick a value from the list." type="list">
      <formula1>"Planned,In progress,Partially implemented,Implemented"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Competence Matrix, Training Records and Communication Plan</dc:title>
  <dcterms:created xmlns:dcterms="http://purl.org/dc/terms/" xmlns:xsi="http://www.w3.org/2001/XMLSchema-instance" xsi:type="dcterms:W3CDTF">2026-10-04T18:41:14Z</dcterms:created>
  <dcterms:modified xmlns:dcterms="http://purl.org/dc/terms/" xmlns:xsi="http://www.w3.org/2001/XMLSchema-instance" xsi:type="dcterms:W3CDTF">2026-10-04T18:41:14Z</dcterms:modified>
  <cp:lastModifiedBy>Prof. Dr. Mohamed Fawzi Elgendi (Fawzooz)</cp:lastModifiedBy>
</cp:coreProperties>
</file>