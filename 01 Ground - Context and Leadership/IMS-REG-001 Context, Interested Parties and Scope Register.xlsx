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nternal &amp; External Issues" sheetId="2" state="visible" r:id="rId2"/>
    <sheet xmlns:r="http://schemas.openxmlformats.org/officeDocument/2006/relationships" name="Interested Parties" sheetId="3" state="visible" r:id="rId3"/>
    <sheet xmlns:r="http://schemas.openxmlformats.org/officeDocument/2006/relationships" name="Legal &amp; Regulatory" sheetId="4" state="visible" r:id="rId4"/>
    <sheet xmlns:r="http://schemas.openxmlformats.org/officeDocument/2006/relationships" name="Scope &amp; Boundaries" sheetId="5" state="visible" r:id="rId5"/>
    <sheet xmlns:r="http://schemas.openxmlformats.org/officeDocument/2006/relationships" name="AI Roles" sheetId="6" state="visible" r:id="rId6"/>
    <sheet xmlns:r="http://schemas.openxmlformats.org/officeDocument/2006/relationships" name="Climate Change" sheetId="7" state="visible" r:id="rId7"/>
  </sheets>
  <definedNames>
    <definedName name="_xlnm._FilterDatabase" localSheetId="1" hidden="1">'Internal &amp; External Issues'!$A$4:$J$46</definedName>
    <definedName name="_xlnm.Print_Titles" localSheetId="1">'Internal &amp; External Issues'!$4:$4</definedName>
    <definedName name="_xlnm._FilterDatabase" localSheetId="2" hidden="1">'Interested Parties'!$A$4:$I$46</definedName>
    <definedName name="_xlnm.Print_Titles" localSheetId="2">'Interested Parties'!$4:$4</definedName>
    <definedName name="_xlnm._FilterDatabase" localSheetId="3" hidden="1">'Legal &amp; Regulatory'!$A$4:$J$47</definedName>
    <definedName name="_xlnm.Print_Titles" localSheetId="3">'Legal &amp; Regulatory'!$4:$4</definedName>
    <definedName name="_xlnm._FilterDatabase" localSheetId="4" hidden="1">'Scope &amp; Boundaries'!$A$4:$F$45</definedName>
    <definedName name="_xlnm.Print_Titles" localSheetId="4">'Scope &amp; Boundaries'!$4:$4</definedName>
    <definedName name="_xlnm._FilterDatabase" localSheetId="5" hidden="1">'AI Roles'!$A$4:$I$40</definedName>
    <definedName name="_xlnm.Print_Titles" localSheetId="5">'AI Roles'!$4:$4</definedName>
    <definedName name="_xlnm._FilterDatabase" localSheetId="6" hidden="1">'Climate Change'!$A$4:$F$41</definedName>
    <definedName name="_xlnm.Print_Titles" localSheetId="6">'Climate Change'!$4:$4</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0F766E"/>
      <sz val="10"/>
    </font>
    <font>
      <b val="1"/>
      <color rgb="00142B4C"/>
      <sz val="18"/>
    </font>
    <font>
      <b val="1"/>
    </font>
    <font>
      <b val="1"/>
      <color rgb="00142B4C"/>
      <sz val="12"/>
    </font>
    <font>
      <b val="1"/>
      <color rgb="00142B4C"/>
      <sz val="14"/>
    </font>
    <font>
      <b val="1"/>
      <color rgb="00FFFFFF"/>
    </font>
  </fonts>
  <fills count="5">
    <fill>
      <patternFill/>
    </fill>
    <fill>
      <patternFill patternType="gray125"/>
    </fill>
    <fill>
      <patternFill patternType="solid">
        <fgColor rgb="00EEF2F7"/>
      </patternFill>
    </fill>
    <fill>
      <patternFill patternType="solid">
        <fgColor rgb="00142B4C"/>
      </patternFill>
    </fill>
    <fill>
      <patternFill patternType="solid">
        <fgColor rgb="00FFF2CC"/>
      </patternFill>
    </fill>
  </fills>
  <borders count="2">
    <border>
      <left/>
      <right/>
      <top/>
      <bottom/>
      <diagonal/>
    </border>
    <border>
      <left style="thin">
        <color rgb="00BFC7D5"/>
      </left>
      <right style="thin">
        <color rgb="00BFC7D5"/>
      </right>
      <top style="thin">
        <color rgb="00BFC7D5"/>
      </top>
      <bottom style="thin">
        <color rgb="00BFC7D5"/>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pivotButton="0" quotePrefix="0" xfId="0"/>
    <xf numFmtId="0" fontId="0" fillId="0" borderId="1"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xf numFmtId="0" fontId="6" fillId="3" borderId="1" applyAlignment="1" pivotButton="0" quotePrefix="0" xfId="0">
      <alignment vertical="center" wrapText="1"/>
    </xf>
    <xf numFmtId="0" fontId="0" fillId="4"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dxfs count="7">
    <dxf>
      <fill>
        <patternFill patternType="solid">
          <fgColor rgb="00C6EFCE"/>
        </patternFill>
      </fill>
    </dxf>
    <dxf>
      <fill>
        <patternFill patternType="solid">
          <fgColor rgb="00FFEB9C"/>
        </patternFill>
      </fill>
    </dxf>
    <dxf>
      <fill>
        <patternFill patternType="solid">
          <fgColor rgb="00F8CBAD"/>
        </patternFill>
      </fill>
    </dxf>
    <dxf>
      <fill>
        <patternFill patternType="solid">
          <fgColor rgb="00FF7C80"/>
        </patternFill>
      </fill>
    </dxf>
    <dxf>
      <fill>
        <patternFill patternType="solid">
          <fgColor rgb="00DDEBF7"/>
        </patternFill>
      </fill>
    </dxf>
    <dxf>
      <fill>
        <patternFill patternType="solid">
          <fgColor rgb="00F2F2F2"/>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4" customWidth="1" min="1" max="1"/>
    <col width="100" customWidth="1" min="2" max="2"/>
  </cols>
  <sheetData>
    <row r="1">
      <c r="A1" s="1" t="inlineStr">
        <is>
          <t>TWYNTRUST FRAMEWORK · Quillfen Studio</t>
        </is>
      </c>
    </row>
    <row r="2">
      <c r="A2" s="2" t="inlineStr">
        <is>
          <t>Context, Interested Parties and Scope Register</t>
        </is>
      </c>
    </row>
    <row r="3" ht="48" customHeight="1">
      <c r="A3" s="3" t="inlineStr">
        <is>
          <t>The register that captures Quillfen Studio's context for both standards: issues, interested parties and their requirements, legal and contractual obligations, the scope boundary, our role for each AI system, and whether climate change is relevant.</t>
        </is>
      </c>
    </row>
    <row r="5">
      <c r="A5" s="4" t="inlineStr">
        <is>
          <t>Document ID</t>
        </is>
      </c>
      <c r="B5" s="5" t="inlineStr">
        <is>
          <t>IMS-REG-001</t>
        </is>
      </c>
    </row>
    <row r="6">
      <c r="A6" s="4" t="inlineStr">
        <is>
          <t>Version</t>
        </is>
      </c>
      <c r="B6" s="5" t="inlineStr">
        <is>
          <t>2.0</t>
        </is>
      </c>
    </row>
    <row r="7">
      <c r="A7" s="4" t="inlineStr">
        <is>
          <t>Prepared by</t>
        </is>
      </c>
      <c r="B7" s="5" t="inlineStr">
        <is>
          <t>Prof. Dr. Mohamed Fawzi Elgendi (Fawzooz), Fawzooz.ai</t>
        </is>
      </c>
    </row>
    <row r="8">
      <c r="A8" s="4" t="inlineStr">
        <is>
          <t>License</t>
        </is>
      </c>
      <c r="B8" s="5" t="inlineStr">
        <is>
          <t>CC BY 4.0 — free to share and adapt, including commercially, with credit to Prof. Dr. Mohamed Fawzi Elgendi (Fawzooz), Fawzooz.ai · creativecommons.org/licenses/by/4.0</t>
        </is>
      </c>
    </row>
    <row r="9">
      <c r="A9" s="4" t="inlineStr">
        <is>
          <t>Classification</t>
        </is>
      </c>
      <c r="B9" s="5" t="inlineStr">
        <is>
          <t>Internal</t>
        </is>
      </c>
    </row>
    <row r="10">
      <c r="A10" s="4" t="inlineStr">
        <is>
          <t>Owner</t>
        </is>
      </c>
      <c r="B10" s="5" t="inlineStr">
        <is>
          <t>[Compliance Coordinator]</t>
        </is>
      </c>
    </row>
    <row r="11">
      <c r="A11" s="4" t="inlineStr">
        <is>
          <t>Approved by</t>
        </is>
      </c>
      <c r="B11" s="5" t="inlineStr">
        <is>
          <t>[CEO] (Trust Council)</t>
        </is>
      </c>
    </row>
    <row r="12">
      <c r="A12" s="4" t="inlineStr">
        <is>
          <t>Effective date</t>
        </is>
      </c>
      <c r="B12" s="5" t="inlineStr">
        <is>
          <t>2026-11-01</t>
        </is>
      </c>
    </row>
    <row r="13">
      <c r="A13" s="4" t="inlineStr">
        <is>
          <t>Kit folder</t>
        </is>
      </c>
      <c r="B13" s="5" t="inlineStr">
        <is>
          <t>01 Ground - Context and Leadership</t>
        </is>
      </c>
    </row>
    <row r="14">
      <c r="A14" s="4" t="inlineStr">
        <is>
          <t>ISO/IEC 27001:2022</t>
        </is>
      </c>
      <c r="B14" s="5" t="inlineStr">
        <is>
          <t>4.1, 4.2, 4.3 (incl. Amd 1:2024 climate change); Annex A 5.31</t>
        </is>
      </c>
    </row>
    <row r="15">
      <c r="A15" s="4" t="inlineStr">
        <is>
          <t>ISO/IEC 42001:2023</t>
        </is>
      </c>
      <c r="B15" s="5" t="inlineStr">
        <is>
          <t>4.1 (incl. AI roles), 4.2, 4.3; Annex A.10.2</t>
        </is>
      </c>
    </row>
    <row r="17">
      <c r="A17" s="6" t="inlineStr">
        <is>
          <t>How to use this workbook</t>
        </is>
      </c>
    </row>
    <row r="18" ht="30" customHeight="1">
      <c r="A18" t="inlineStr">
        <is>
          <t>•</t>
        </is>
      </c>
      <c r="B18" s="3" t="inlineStr">
        <is>
          <t>This is a SAMPLE filled in for the example company Quillfen Studio. Keep the structure, replace the example rows with your own.</t>
        </is>
      </c>
    </row>
    <row r="19" ht="15" customHeight="1">
      <c r="A19" t="inlineStr">
        <is>
          <t>•</t>
        </is>
      </c>
      <c r="B19" s="3" t="inlineStr">
        <is>
          <t>Yellow cells are fill-in fields. Drop-down cells only accept the listed values.</t>
        </is>
      </c>
    </row>
    <row r="20" ht="30" customHeight="1">
      <c r="A20" t="inlineStr">
        <is>
          <t>•</t>
        </is>
      </c>
      <c r="B20" s="3" t="inlineStr">
        <is>
          <t>Cells with formulas (scores, levels, due status) calculate automatically — do not type over them.</t>
        </is>
      </c>
    </row>
    <row r="21" ht="30" customHeight="1">
      <c r="A21" t="inlineStr">
        <is>
          <t>•</t>
        </is>
      </c>
      <c r="B21" s="3" t="inlineStr">
        <is>
          <t>Review the whole register twice a year with the Trust Council and after any major change (new market, new AI system, new law).</t>
        </is>
      </c>
    </row>
    <row r="22" ht="30" customHeight="1">
      <c r="A22" t="inlineStr">
        <is>
          <t>•</t>
        </is>
      </c>
      <c r="B22" s="3" t="inlineStr">
        <is>
          <t>Issues marked High automatically say 'Yes — raise or link a risk'. Make sure each one is linked to a risk in IMS-REG-002 or explained.</t>
        </is>
      </c>
    </row>
    <row r="23" ht="30" customHeight="1">
      <c r="A23" t="inlineStr">
        <is>
          <t>•</t>
        </is>
      </c>
      <c r="B23" s="3" t="inlineStr">
        <is>
          <t>Interested-party requirements that are binding (law or contract) must also appear in the Legal &amp; Regulatory sheet.</t>
        </is>
      </c>
    </row>
    <row r="25">
      <c r="A25" s="6" t="inlineStr">
        <is>
          <t>Sheets</t>
        </is>
      </c>
    </row>
    <row r="26" ht="45" customHeight="1">
      <c r="A26" s="7" t="inlineStr">
        <is>
          <t>Internal &amp; External Issues</t>
        </is>
      </c>
      <c r="B26" s="3" t="inlineStr">
        <is>
          <t>Things inside and outside the company that affect our ability to protect information and use AI responsibly. 'Affects' shows whether the issue matters to the ISMS, the AIMS or both. 'Risk register?' is calculated.</t>
        </is>
      </c>
    </row>
    <row r="27" ht="45" customHeight="1">
      <c r="A27" s="7" t="inlineStr">
        <is>
          <t>Interested Parties</t>
        </is>
      </c>
      <c r="B27" s="3" t="inlineStr">
        <is>
          <t>Who can affect or is affected by our IMS, what they need, and whether we address it. Influence and interest are scored 1–5; priority is calculated. Binding requirements become entries in the Legal &amp; Regulatory sheet.</t>
        </is>
      </c>
    </row>
    <row r="28" ht="30" customHeight="1">
      <c r="A28" s="7" t="inlineStr">
        <is>
          <t>Legal &amp; Regulatory</t>
        </is>
      </c>
      <c r="B28" s="3" t="inlineStr">
        <is>
          <t>Every law, regulation and contract term we must meet. Owners review each entry at least yearly; 'Next review' is calculated from 'Last reviewed'.</t>
        </is>
      </c>
    </row>
    <row r="29" ht="30" customHeight="1">
      <c r="A29" s="7" t="inlineStr">
        <is>
          <t>Scope &amp; Boundaries</t>
        </is>
      </c>
      <c r="B29" s="3" t="inlineStr">
        <is>
          <t>What is inside and outside the IMS and why. Interfaces and dependencies show where our responsibility meets someone else's, and the control we use at that boundary.</t>
        </is>
      </c>
    </row>
    <row r="30" ht="30" customHeight="1">
      <c r="A30" s="7" t="inlineStr">
        <is>
          <t>AI Roles</t>
        </is>
      </c>
      <c r="B30" s="3" t="inlineStr">
        <is>
          <t>ISO/IEC 42001 asks us to determine our role for each AI system (terms from ISO/IEC 22989). The role shapes which controls matter most. Keep in line with IMS-REG-005 and IMS-MAN-001.</t>
        </is>
      </c>
    </row>
    <row r="31" ht="45" customHeight="1">
      <c r="A31" s="7" t="inlineStr">
        <is>
          <t>Climate Change</t>
        </is>
      </c>
      <c r="B31" s="3" t="inlineStr">
        <is>
          <t>ISO/IEC 27001:2022/Amd 1:2024 added climate-change consideration to clauses 4.1 and 4.2. We apply the same consideration to the AIMS as good practice (and AI compute energy use is relevant to ISO/IEC 42001 Annex C 'environmental impact').</t>
        </is>
      </c>
    </row>
  </sheetData>
  <mergeCells count="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5" customWidth="1" min="3" max="3"/>
    <col width="55" customWidth="1" min="4" max="4"/>
    <col width="10" customWidth="1" min="5" max="5"/>
    <col width="14" customWidth="1" min="6" max="6"/>
    <col width="13" customWidth="1" min="7" max="7"/>
    <col width="18" customWidth="1" min="8" max="8"/>
    <col width="30" customWidth="1" min="9" max="9"/>
    <col width="26" customWidth="1" min="10" max="10"/>
  </cols>
  <sheetData>
    <row r="1">
      <c r="A1" s="8" t="inlineStr">
        <is>
          <t>Internal and external issues (PESTLE + internal)</t>
        </is>
      </c>
    </row>
    <row r="2" ht="30" customHeight="1">
      <c r="A2" s="3" t="inlineStr">
        <is>
          <t>Things inside and outside the company that affect our ability to protect information and use AI responsibly. 'Affects' shows whether the issue matters to the ISMS, the AIMS or both. 'Risk register?' is calculated.</t>
        </is>
      </c>
    </row>
    <row r="4" ht="32" customHeight="1">
      <c r="A4" s="9" t="inlineStr">
        <is>
          <t>ID</t>
        </is>
      </c>
      <c r="B4" s="9" t="inlineStr">
        <is>
          <t>Internal / External</t>
        </is>
      </c>
      <c r="C4" s="9" t="inlineStr">
        <is>
          <t>Category</t>
        </is>
      </c>
      <c r="D4" s="9" t="inlineStr">
        <is>
          <t>Issue</t>
        </is>
      </c>
      <c r="E4" s="9" t="inlineStr">
        <is>
          <t>Affects</t>
        </is>
      </c>
      <c r="F4" s="9" t="inlineStr">
        <is>
          <t>Risk or opportunity</t>
        </is>
      </c>
      <c r="G4" s="9" t="inlineStr">
        <is>
          <t>Significance</t>
        </is>
      </c>
      <c r="H4" s="9" t="inlineStr">
        <is>
          <t>Owner</t>
        </is>
      </c>
      <c r="I4" s="9" t="inlineStr">
        <is>
          <t>Linked to</t>
        </is>
      </c>
      <c r="J4" s="9" t="inlineStr">
        <is>
          <t>Risk register?</t>
        </is>
      </c>
    </row>
    <row r="5">
      <c r="A5" s="5" t="inlineStr">
        <is>
          <t>ISS-01</t>
        </is>
      </c>
      <c r="B5" s="5" t="inlineStr">
        <is>
          <t>External</t>
        </is>
      </c>
      <c r="C5" s="5" t="inlineStr">
        <is>
          <t>Legal</t>
        </is>
      </c>
      <c r="D5" s="5" t="inlineStr">
        <is>
          <t>EU AI Act transparency duties (labelling AI-generated content and deepfakes) apply to StoryFrame outputs used by EU customers.</t>
        </is>
      </c>
      <c r="E5" s="5" t="inlineStr">
        <is>
          <t>Both</t>
        </is>
      </c>
      <c r="F5" s="5" t="inlineStr">
        <is>
          <t>Risk</t>
        </is>
      </c>
      <c r="G5" s="5" t="inlineStr">
        <is>
          <t>High</t>
        </is>
      </c>
      <c r="H5" s="5" t="inlineStr">
        <is>
          <t>[Privacy and Legal Lead]</t>
        </is>
      </c>
      <c r="I5" s="5" t="inlineStr">
        <is>
          <t>RSK-AI-002; labelling controls in IMS-POL-002</t>
        </is>
      </c>
      <c r="J5" s="5">
        <f>IF(OR(G5="High",G5="Critical"),"Yes — raise or link a risk","Monitor")</f>
        <v/>
      </c>
    </row>
    <row r="6">
      <c r="A6" s="5" t="inlineStr">
        <is>
          <t>ISS-02</t>
        </is>
      </c>
      <c r="B6" s="5" t="inlineStr">
        <is>
          <t>External</t>
        </is>
      </c>
      <c r="C6" s="5" t="inlineStr">
        <is>
          <t>Social</t>
        </is>
      </c>
      <c r="D6" s="5" t="inlineStr">
        <is>
          <t>Artists and the public are sceptical of generative AI trained on scraped art; trust in our consent model is a market differentiator.</t>
        </is>
      </c>
      <c r="E6" s="5" t="inlineStr">
        <is>
          <t>AIMS</t>
        </is>
      </c>
      <c r="F6" s="5" t="inlineStr">
        <is>
          <t>Opportunity</t>
        </is>
      </c>
      <c r="G6" s="5" t="inlineStr">
        <is>
          <t>High</t>
        </is>
      </c>
      <c r="H6" s="5" t="inlineStr">
        <is>
          <t>[Creative Director]</t>
        </is>
      </c>
      <c r="I6" s="5" t="inlineStr">
        <is>
          <t>OBJ-03; Artist Advisory Panel</t>
        </is>
      </c>
      <c r="J6" s="5">
        <f>IF(OR(G6="High",G6="Critical"),"Yes — raise or link a risk","Monitor")</f>
        <v/>
      </c>
    </row>
    <row r="7">
      <c r="A7" s="5" t="inlineStr">
        <is>
          <t>ISS-03</t>
        </is>
      </c>
      <c r="B7" s="5" t="inlineStr">
        <is>
          <t>External</t>
        </is>
      </c>
      <c r="C7" s="5" t="inlineStr">
        <is>
          <t>Technological</t>
        </is>
      </c>
      <c r="D7" s="5" t="inlineStr">
        <is>
          <t>We depend on third-party foundation and image models that can change behaviour with little notice.</t>
        </is>
      </c>
      <c r="E7" s="5" t="inlineStr">
        <is>
          <t>Both</t>
        </is>
      </c>
      <c r="F7" s="5" t="inlineStr">
        <is>
          <t>Risk</t>
        </is>
      </c>
      <c r="G7" s="5" t="inlineStr">
        <is>
          <t>High</t>
        </is>
      </c>
      <c r="H7" s="5" t="inlineStr">
        <is>
          <t>[Head of AI]</t>
        </is>
      </c>
      <c r="I7" s="5" t="inlineStr">
        <is>
          <t>RSK-AI-005; IMS-POL-006</t>
        </is>
      </c>
      <c r="J7" s="5">
        <f>IF(OR(G7="High",G7="Critical"),"Yes — raise or link a risk","Monitor")</f>
        <v/>
      </c>
    </row>
    <row r="8">
      <c r="A8" s="5" t="inlineStr">
        <is>
          <t>ISS-04</t>
        </is>
      </c>
      <c r="B8" s="5" t="inlineStr">
        <is>
          <t>External</t>
        </is>
      </c>
      <c r="C8" s="5" t="inlineStr">
        <is>
          <t>Economic</t>
        </is>
      </c>
      <c r="D8" s="5" t="inlineStr">
        <is>
          <t>Enterprise customers require ISO/IEC 27001 in contracts; certification unlocks revenue.</t>
        </is>
      </c>
      <c r="E8" s="5" t="inlineStr">
        <is>
          <t>ISMS</t>
        </is>
      </c>
      <c r="F8" s="5" t="inlineStr">
        <is>
          <t>Opportunity</t>
        </is>
      </c>
      <c r="G8" s="5" t="inlineStr">
        <is>
          <t>High</t>
        </is>
      </c>
      <c r="H8" s="5" t="inlineStr">
        <is>
          <t>[CEO]</t>
        </is>
      </c>
      <c r="I8" s="5" t="inlineStr">
        <is>
          <t>OBJ-01</t>
        </is>
      </c>
      <c r="J8" s="5">
        <f>IF(OR(G8="High",G8="Critical"),"Yes — raise or link a risk","Monitor")</f>
        <v/>
      </c>
    </row>
    <row r="9">
      <c r="A9" s="5" t="inlineStr">
        <is>
          <t>ISS-05</t>
        </is>
      </c>
      <c r="B9" s="5" t="inlineStr">
        <is>
          <t>External</t>
        </is>
      </c>
      <c r="C9" s="5" t="inlineStr">
        <is>
          <t>Technological</t>
        </is>
      </c>
      <c r="D9" s="5" t="inlineStr">
        <is>
          <t>Phishing and credential theft targeting SaaS and cloud admins is increasing, including AI-generated lures.</t>
        </is>
      </c>
      <c r="E9" s="5" t="inlineStr">
        <is>
          <t>ISMS</t>
        </is>
      </c>
      <c r="F9" s="5" t="inlineStr">
        <is>
          <t>Risk</t>
        </is>
      </c>
      <c r="G9" s="5" t="inlineStr">
        <is>
          <t>High</t>
        </is>
      </c>
      <c r="H9" s="5" t="inlineStr">
        <is>
          <t>[Security Lead]</t>
        </is>
      </c>
      <c r="I9" s="5" t="inlineStr">
        <is>
          <t>RSK-IS-002</t>
        </is>
      </c>
      <c r="J9" s="5">
        <f>IF(OR(G9="High",G9="Critical"),"Yes — raise or link a risk","Monitor")</f>
        <v/>
      </c>
    </row>
    <row r="10">
      <c r="A10" s="5" t="inlineStr">
        <is>
          <t>ISS-06</t>
        </is>
      </c>
      <c r="B10" s="5" t="inlineStr">
        <is>
          <t>External</t>
        </is>
      </c>
      <c r="C10" s="5" t="inlineStr">
        <is>
          <t>Legal</t>
        </is>
      </c>
      <c r="D10" s="5" t="inlineStr">
        <is>
          <t>Copyright law on AI training and outputs is unsettled and differs between the UAE, EU, UK and US.</t>
        </is>
      </c>
      <c r="E10" s="5" t="inlineStr">
        <is>
          <t>AIMS</t>
        </is>
      </c>
      <c r="F10" s="5" t="inlineStr">
        <is>
          <t>Risk</t>
        </is>
      </c>
      <c r="G10" s="5" t="inlineStr">
        <is>
          <t>Medium</t>
        </is>
      </c>
      <c r="H10" s="5" t="inlineStr">
        <is>
          <t>[Legal Counsel]</t>
        </is>
      </c>
      <c r="I10" s="5" t="inlineStr">
        <is>
          <t>RSK-AI-001</t>
        </is>
      </c>
      <c r="J10" s="5">
        <f>IF(OR(G10="High",G10="Critical"),"Yes — raise or link a risk","Monitor")</f>
        <v/>
      </c>
    </row>
    <row r="11">
      <c r="A11" s="5" t="inlineStr">
        <is>
          <t>ISS-07</t>
        </is>
      </c>
      <c r="B11" s="5" t="inlineStr">
        <is>
          <t>External</t>
        </is>
      </c>
      <c r="C11" s="5" t="inlineStr">
        <is>
          <t>Political</t>
        </is>
      </c>
      <c r="D11" s="5" t="inlineStr">
        <is>
          <t>Data-residency expectations from UAE enterprise customers.</t>
        </is>
      </c>
      <c r="E11" s="5" t="inlineStr">
        <is>
          <t>ISMS</t>
        </is>
      </c>
      <c r="F11" s="5" t="inlineStr">
        <is>
          <t>Risk</t>
        </is>
      </c>
      <c r="G11" s="5" t="inlineStr">
        <is>
          <t>Medium</t>
        </is>
      </c>
      <c r="H11" s="5" t="inlineStr">
        <is>
          <t>[Platform Engineer]</t>
        </is>
      </c>
      <c r="I11" s="5" t="inlineStr">
        <is>
          <t>me-central-1 region option</t>
        </is>
      </c>
      <c r="J11" s="5">
        <f>IF(OR(G11="High",G11="Critical"),"Yes — raise or link a risk","Monitor")</f>
        <v/>
      </c>
    </row>
    <row r="12">
      <c r="A12" s="5" t="inlineStr">
        <is>
          <t>ISS-08</t>
        </is>
      </c>
      <c r="B12" s="5" t="inlineStr">
        <is>
          <t>Internal</t>
        </is>
      </c>
      <c r="C12" s="5" t="inlineStr">
        <is>
          <t>Organisational</t>
        </is>
      </c>
      <c r="D12" s="5" t="inlineStr">
        <is>
          <t>Small team: several people hold two roles; key-person dependency in security and ML.</t>
        </is>
      </c>
      <c r="E12" s="5" t="inlineStr">
        <is>
          <t>Both</t>
        </is>
      </c>
      <c r="F12" s="5" t="inlineStr">
        <is>
          <t>Risk</t>
        </is>
      </c>
      <c r="G12" s="5" t="inlineStr">
        <is>
          <t>Medium</t>
        </is>
      </c>
      <c r="H12" s="5" t="inlineStr">
        <is>
          <t>[CEO]</t>
        </is>
      </c>
      <c r="I12" s="5" t="inlineStr">
        <is>
          <t>IMS-GOV-001 section 6; IMS-PRO-006</t>
        </is>
      </c>
      <c r="J12" s="5">
        <f>IF(OR(G12="High",G12="Critical"),"Yes — raise or link a risk","Monitor")</f>
        <v/>
      </c>
    </row>
    <row r="13">
      <c r="A13" s="5" t="inlineStr">
        <is>
          <t>ISS-09</t>
        </is>
      </c>
      <c r="B13" s="5" t="inlineStr">
        <is>
          <t>Internal</t>
        </is>
      </c>
      <c r="C13" s="5" t="inlineStr">
        <is>
          <t>Cultural</t>
        </is>
      </c>
      <c r="D13" s="5" t="inlineStr">
        <is>
          <t>Strong engineering culture of automation; CI/CD makes controls cheap to enforce.</t>
        </is>
      </c>
      <c r="E13" s="5" t="inlineStr">
        <is>
          <t>Both</t>
        </is>
      </c>
      <c r="F13" s="5" t="inlineStr">
        <is>
          <t>Opportunity</t>
        </is>
      </c>
      <c r="G13" s="5" t="inlineStr">
        <is>
          <t>Medium</t>
        </is>
      </c>
      <c r="H13" s="5" t="inlineStr">
        <is>
          <t>[CTO]</t>
        </is>
      </c>
      <c r="I13" s="5" t="inlineStr">
        <is>
          <t>IMS-POL-002</t>
        </is>
      </c>
      <c r="J13" s="5">
        <f>IF(OR(G13="High",G13="Critical"),"Yes — raise or link a risk","Monitor")</f>
        <v/>
      </c>
    </row>
    <row r="14">
      <c r="A14" s="5" t="inlineStr">
        <is>
          <t>ISS-10</t>
        </is>
      </c>
      <c r="B14" s="5" t="inlineStr">
        <is>
          <t>Internal</t>
        </is>
      </c>
      <c r="C14" s="5" t="inlineStr">
        <is>
          <t>Organisational</t>
        </is>
      </c>
      <c r="D14" s="5" t="inlineStr">
        <is>
          <t>Fully remote staff in four countries; contractors onboarded by different managers.</t>
        </is>
      </c>
      <c r="E14" s="5" t="inlineStr">
        <is>
          <t>Both</t>
        </is>
      </c>
      <c r="F14" s="5" t="inlineStr">
        <is>
          <t>Risk</t>
        </is>
      </c>
      <c r="G14" s="5" t="inlineStr">
        <is>
          <t>Medium</t>
        </is>
      </c>
      <c r="H14" s="5" t="inlineStr">
        <is>
          <t>[People and Operations Lead]</t>
        </is>
      </c>
      <c r="I14" s="5" t="inlineStr">
        <is>
          <t>NC-2026-004; CA-2026-005</t>
        </is>
      </c>
      <c r="J14" s="5">
        <f>IF(OR(G14="High",G14="Critical"),"Yes — raise or link a risk","Monitor")</f>
        <v/>
      </c>
    </row>
    <row r="15">
      <c r="A15" s="5" t="inlineStr">
        <is>
          <t>ISS-11</t>
        </is>
      </c>
      <c r="B15" s="5" t="inlineStr">
        <is>
          <t>Internal</t>
        </is>
      </c>
      <c r="C15" s="5" t="inlineStr">
        <is>
          <t>Technological</t>
        </is>
      </c>
      <c r="D15" s="5" t="inlineStr">
        <is>
          <t>ArtistMatch ranking directly affects artists' income.</t>
        </is>
      </c>
      <c r="E15" s="5" t="inlineStr">
        <is>
          <t>AIMS</t>
        </is>
      </c>
      <c r="F15" s="5" t="inlineStr">
        <is>
          <t>Risk</t>
        </is>
      </c>
      <c r="G15" s="5" t="inlineStr">
        <is>
          <t>High</t>
        </is>
      </c>
      <c r="H15" s="5" t="inlineStr">
        <is>
          <t>[Head of AI]</t>
        </is>
      </c>
      <c r="I15" s="5" t="inlineStr">
        <is>
          <t>RSK-AI-003; OBJ-06</t>
        </is>
      </c>
      <c r="J15" s="5">
        <f>IF(OR(G15="High",G15="Critical"),"Yes — raise or link a risk","Monitor")</f>
        <v/>
      </c>
    </row>
    <row r="16">
      <c r="A16" s="5" t="inlineStr">
        <is>
          <t>ISS-12</t>
        </is>
      </c>
      <c r="B16" s="10" t="inlineStr">
        <is>
          <t>[Internal/External]</t>
        </is>
      </c>
      <c r="C16" s="10" t="inlineStr">
        <is>
          <t>[category]</t>
        </is>
      </c>
      <c r="D16" s="10" t="inlineStr">
        <is>
          <t>[your issue]</t>
        </is>
      </c>
      <c r="E16" s="10" t="inlineStr">
        <is>
          <t>[ISMS/AIMS/Both]</t>
        </is>
      </c>
      <c r="F16" s="10" t="inlineStr">
        <is>
          <t>[Risk/Opportunity]</t>
        </is>
      </c>
      <c r="G16" s="10" t="inlineStr">
        <is>
          <t>[Low/Medium/High]</t>
        </is>
      </c>
      <c r="H16" s="10" t="inlineStr">
        <is>
          <t>[owner]</t>
        </is>
      </c>
      <c r="I16" s="10" t="inlineStr">
        <is>
          <t>[link]</t>
        </is>
      </c>
      <c r="J16" s="5">
        <f>IF(OR(G16="High",G16="Critical"),"Yes — raise or link a risk","Monitor")</f>
        <v/>
      </c>
    </row>
    <row r="17">
      <c r="A17" s="5" t="n"/>
      <c r="B17" s="5" t="n"/>
      <c r="C17" s="5" t="n"/>
      <c r="D17" s="5" t="n"/>
      <c r="E17" s="5" t="n"/>
      <c r="F17" s="5" t="n"/>
      <c r="G17" s="5" t="n"/>
      <c r="H17" s="5" t="n"/>
      <c r="I17" s="5" t="n"/>
      <c r="J17" s="5">
        <f>IF(OR(G17="High",G17="Critical"),"Yes — raise or link a risk",IF(G17="","","Monitor"))</f>
        <v/>
      </c>
    </row>
    <row r="18">
      <c r="A18" s="5" t="n"/>
      <c r="B18" s="5" t="n"/>
      <c r="C18" s="5" t="n"/>
      <c r="D18" s="5" t="n"/>
      <c r="E18" s="5" t="n"/>
      <c r="F18" s="5" t="n"/>
      <c r="G18" s="5" t="n"/>
      <c r="H18" s="5" t="n"/>
      <c r="I18" s="5" t="n"/>
      <c r="J18" s="5">
        <f>IF(OR(G18="High",G18="Critical"),"Yes — raise or link a risk",IF(G18="","","Monitor"))</f>
        <v/>
      </c>
    </row>
    <row r="19">
      <c r="A19" s="5" t="n"/>
      <c r="B19" s="5" t="n"/>
      <c r="C19" s="5" t="n"/>
      <c r="D19" s="5" t="n"/>
      <c r="E19" s="5" t="n"/>
      <c r="F19" s="5" t="n"/>
      <c r="G19" s="5" t="n"/>
      <c r="H19" s="5" t="n"/>
      <c r="I19" s="5" t="n"/>
      <c r="J19" s="5">
        <f>IF(OR(G19="High",G19="Critical"),"Yes — raise or link a risk",IF(G19="","","Monitor"))</f>
        <v/>
      </c>
    </row>
    <row r="20">
      <c r="A20" s="5" t="n"/>
      <c r="B20" s="5" t="n"/>
      <c r="C20" s="5" t="n"/>
      <c r="D20" s="5" t="n"/>
      <c r="E20" s="5" t="n"/>
      <c r="F20" s="5" t="n"/>
      <c r="G20" s="5" t="n"/>
      <c r="H20" s="5" t="n"/>
      <c r="I20" s="5" t="n"/>
      <c r="J20" s="5">
        <f>IF(OR(G20="High",G20="Critical"),"Yes — raise or link a risk",IF(G20="","","Monitor"))</f>
        <v/>
      </c>
    </row>
    <row r="21">
      <c r="A21" s="5" t="n"/>
      <c r="B21" s="5" t="n"/>
      <c r="C21" s="5" t="n"/>
      <c r="D21" s="5" t="n"/>
      <c r="E21" s="5" t="n"/>
      <c r="F21" s="5" t="n"/>
      <c r="G21" s="5" t="n"/>
      <c r="H21" s="5" t="n"/>
      <c r="I21" s="5" t="n"/>
      <c r="J21" s="5">
        <f>IF(OR(G21="High",G21="Critical"),"Yes — raise or link a risk",IF(G21="","","Monitor"))</f>
        <v/>
      </c>
    </row>
    <row r="22">
      <c r="A22" s="5" t="n"/>
      <c r="B22" s="5" t="n"/>
      <c r="C22" s="5" t="n"/>
      <c r="D22" s="5" t="n"/>
      <c r="E22" s="5" t="n"/>
      <c r="F22" s="5" t="n"/>
      <c r="G22" s="5" t="n"/>
      <c r="H22" s="5" t="n"/>
      <c r="I22" s="5" t="n"/>
      <c r="J22" s="5">
        <f>IF(OR(G22="High",G22="Critical"),"Yes — raise or link a risk",IF(G22="","","Monitor"))</f>
        <v/>
      </c>
    </row>
    <row r="23">
      <c r="A23" s="5" t="n"/>
      <c r="B23" s="5" t="n"/>
      <c r="C23" s="5" t="n"/>
      <c r="D23" s="5" t="n"/>
      <c r="E23" s="5" t="n"/>
      <c r="F23" s="5" t="n"/>
      <c r="G23" s="5" t="n"/>
      <c r="H23" s="5" t="n"/>
      <c r="I23" s="5" t="n"/>
      <c r="J23" s="5">
        <f>IF(OR(G23="High",G23="Critical"),"Yes — raise or link a risk",IF(G23="","","Monitor"))</f>
        <v/>
      </c>
    </row>
    <row r="24">
      <c r="A24" s="5" t="n"/>
      <c r="B24" s="5" t="n"/>
      <c r="C24" s="5" t="n"/>
      <c r="D24" s="5" t="n"/>
      <c r="E24" s="5" t="n"/>
      <c r="F24" s="5" t="n"/>
      <c r="G24" s="5" t="n"/>
      <c r="H24" s="5" t="n"/>
      <c r="I24" s="5" t="n"/>
      <c r="J24" s="5">
        <f>IF(OR(G24="High",G24="Critical"),"Yes — raise or link a risk",IF(G24="","","Monitor"))</f>
        <v/>
      </c>
    </row>
    <row r="25">
      <c r="A25" s="5" t="n"/>
      <c r="B25" s="5" t="n"/>
      <c r="C25" s="5" t="n"/>
      <c r="D25" s="5" t="n"/>
      <c r="E25" s="5" t="n"/>
      <c r="F25" s="5" t="n"/>
      <c r="G25" s="5" t="n"/>
      <c r="H25" s="5" t="n"/>
      <c r="I25" s="5" t="n"/>
      <c r="J25" s="5">
        <f>IF(OR(G25="High",G25="Critical"),"Yes — raise or link a risk",IF(G25="","","Monitor"))</f>
        <v/>
      </c>
    </row>
    <row r="26">
      <c r="A26" s="5" t="n"/>
      <c r="B26" s="5" t="n"/>
      <c r="C26" s="5" t="n"/>
      <c r="D26" s="5" t="n"/>
      <c r="E26" s="5" t="n"/>
      <c r="F26" s="5" t="n"/>
      <c r="G26" s="5" t="n"/>
      <c r="H26" s="5" t="n"/>
      <c r="I26" s="5" t="n"/>
      <c r="J26" s="5">
        <f>IF(OR(G26="High",G26="Critical"),"Yes — raise or link a risk",IF(G26="","","Monitor"))</f>
        <v/>
      </c>
    </row>
    <row r="27">
      <c r="A27" s="5" t="n"/>
      <c r="B27" s="5" t="n"/>
      <c r="C27" s="5" t="n"/>
      <c r="D27" s="5" t="n"/>
      <c r="E27" s="5" t="n"/>
      <c r="F27" s="5" t="n"/>
      <c r="G27" s="5" t="n"/>
      <c r="H27" s="5" t="n"/>
      <c r="I27" s="5" t="n"/>
      <c r="J27" s="5">
        <f>IF(OR(G27="High",G27="Critical"),"Yes — raise or link a risk",IF(G27="","","Monitor"))</f>
        <v/>
      </c>
    </row>
    <row r="28">
      <c r="A28" s="5" t="n"/>
      <c r="B28" s="5" t="n"/>
      <c r="C28" s="5" t="n"/>
      <c r="D28" s="5" t="n"/>
      <c r="E28" s="5" t="n"/>
      <c r="F28" s="5" t="n"/>
      <c r="G28" s="5" t="n"/>
      <c r="H28" s="5" t="n"/>
      <c r="I28" s="5" t="n"/>
      <c r="J28" s="5">
        <f>IF(OR(G28="High",G28="Critical"),"Yes — raise or link a risk",IF(G28="","","Monitor"))</f>
        <v/>
      </c>
    </row>
    <row r="29">
      <c r="A29" s="5" t="n"/>
      <c r="B29" s="5" t="n"/>
      <c r="C29" s="5" t="n"/>
      <c r="D29" s="5" t="n"/>
      <c r="E29" s="5" t="n"/>
      <c r="F29" s="5" t="n"/>
      <c r="G29" s="5" t="n"/>
      <c r="H29" s="5" t="n"/>
      <c r="I29" s="5" t="n"/>
      <c r="J29" s="5">
        <f>IF(OR(G29="High",G29="Critical"),"Yes — raise or link a risk",IF(G29="","","Monitor"))</f>
        <v/>
      </c>
    </row>
    <row r="30">
      <c r="A30" s="5" t="n"/>
      <c r="B30" s="5" t="n"/>
      <c r="C30" s="5" t="n"/>
      <c r="D30" s="5" t="n"/>
      <c r="E30" s="5" t="n"/>
      <c r="F30" s="5" t="n"/>
      <c r="G30" s="5" t="n"/>
      <c r="H30" s="5" t="n"/>
      <c r="I30" s="5" t="n"/>
      <c r="J30" s="5">
        <f>IF(OR(G30="High",G30="Critical"),"Yes — raise or link a risk",IF(G30="","","Monitor"))</f>
        <v/>
      </c>
    </row>
    <row r="31">
      <c r="A31" s="5" t="n"/>
      <c r="B31" s="5" t="n"/>
      <c r="C31" s="5" t="n"/>
      <c r="D31" s="5" t="n"/>
      <c r="E31" s="5" t="n"/>
      <c r="F31" s="5" t="n"/>
      <c r="G31" s="5" t="n"/>
      <c r="H31" s="5" t="n"/>
      <c r="I31" s="5" t="n"/>
      <c r="J31" s="5">
        <f>IF(OR(G31="High",G31="Critical"),"Yes — raise or link a risk",IF(G31="","","Monitor"))</f>
        <v/>
      </c>
    </row>
    <row r="32">
      <c r="A32" s="5" t="n"/>
      <c r="B32" s="5" t="n"/>
      <c r="C32" s="5" t="n"/>
      <c r="D32" s="5" t="n"/>
      <c r="E32" s="5" t="n"/>
      <c r="F32" s="5" t="n"/>
      <c r="G32" s="5" t="n"/>
      <c r="H32" s="5" t="n"/>
      <c r="I32" s="5" t="n"/>
      <c r="J32" s="5">
        <f>IF(OR(G32="High",G32="Critical"),"Yes — raise or link a risk",IF(G32="","","Monitor"))</f>
        <v/>
      </c>
    </row>
    <row r="33">
      <c r="A33" s="5" t="n"/>
      <c r="B33" s="5" t="n"/>
      <c r="C33" s="5" t="n"/>
      <c r="D33" s="5" t="n"/>
      <c r="E33" s="5" t="n"/>
      <c r="F33" s="5" t="n"/>
      <c r="G33" s="5" t="n"/>
      <c r="H33" s="5" t="n"/>
      <c r="I33" s="5" t="n"/>
      <c r="J33" s="5">
        <f>IF(OR(G33="High",G33="Critical"),"Yes — raise or link a risk",IF(G33="","","Monitor"))</f>
        <v/>
      </c>
    </row>
    <row r="34">
      <c r="A34" s="5" t="n"/>
      <c r="B34" s="5" t="n"/>
      <c r="C34" s="5" t="n"/>
      <c r="D34" s="5" t="n"/>
      <c r="E34" s="5" t="n"/>
      <c r="F34" s="5" t="n"/>
      <c r="G34" s="5" t="n"/>
      <c r="H34" s="5" t="n"/>
      <c r="I34" s="5" t="n"/>
      <c r="J34" s="5">
        <f>IF(OR(G34="High",G34="Critical"),"Yes — raise or link a risk",IF(G34="","","Monitor"))</f>
        <v/>
      </c>
    </row>
    <row r="35">
      <c r="A35" s="5" t="n"/>
      <c r="B35" s="5" t="n"/>
      <c r="C35" s="5" t="n"/>
      <c r="D35" s="5" t="n"/>
      <c r="E35" s="5" t="n"/>
      <c r="F35" s="5" t="n"/>
      <c r="G35" s="5" t="n"/>
      <c r="H35" s="5" t="n"/>
      <c r="I35" s="5" t="n"/>
      <c r="J35" s="5">
        <f>IF(OR(G35="High",G35="Critical"),"Yes — raise or link a risk",IF(G35="","","Monitor"))</f>
        <v/>
      </c>
    </row>
    <row r="36">
      <c r="A36" s="5" t="n"/>
      <c r="B36" s="5" t="n"/>
      <c r="C36" s="5" t="n"/>
      <c r="D36" s="5" t="n"/>
      <c r="E36" s="5" t="n"/>
      <c r="F36" s="5" t="n"/>
      <c r="G36" s="5" t="n"/>
      <c r="H36" s="5" t="n"/>
      <c r="I36" s="5" t="n"/>
      <c r="J36" s="5">
        <f>IF(OR(G36="High",G36="Critical"),"Yes — raise or link a risk",IF(G36="","","Monitor"))</f>
        <v/>
      </c>
    </row>
    <row r="37">
      <c r="A37" s="5" t="n"/>
      <c r="B37" s="5" t="n"/>
      <c r="C37" s="5" t="n"/>
      <c r="D37" s="5" t="n"/>
      <c r="E37" s="5" t="n"/>
      <c r="F37" s="5" t="n"/>
      <c r="G37" s="5" t="n"/>
      <c r="H37" s="5" t="n"/>
      <c r="I37" s="5" t="n"/>
      <c r="J37" s="5">
        <f>IF(OR(G37="High",G37="Critical"),"Yes — raise or link a risk",IF(G37="","","Monitor"))</f>
        <v/>
      </c>
    </row>
    <row r="38">
      <c r="A38" s="5" t="n"/>
      <c r="B38" s="5" t="n"/>
      <c r="C38" s="5" t="n"/>
      <c r="D38" s="5" t="n"/>
      <c r="E38" s="5" t="n"/>
      <c r="F38" s="5" t="n"/>
      <c r="G38" s="5" t="n"/>
      <c r="H38" s="5" t="n"/>
      <c r="I38" s="5" t="n"/>
      <c r="J38" s="5">
        <f>IF(OR(G38="High",G38="Critical"),"Yes — raise or link a risk",IF(G38="","","Monitor"))</f>
        <v/>
      </c>
    </row>
    <row r="39">
      <c r="A39" s="5" t="n"/>
      <c r="B39" s="5" t="n"/>
      <c r="C39" s="5" t="n"/>
      <c r="D39" s="5" t="n"/>
      <c r="E39" s="5" t="n"/>
      <c r="F39" s="5" t="n"/>
      <c r="G39" s="5" t="n"/>
      <c r="H39" s="5" t="n"/>
      <c r="I39" s="5" t="n"/>
      <c r="J39" s="5">
        <f>IF(OR(G39="High",G39="Critical"),"Yes — raise or link a risk",IF(G39="","","Monitor"))</f>
        <v/>
      </c>
    </row>
    <row r="40">
      <c r="A40" s="5" t="n"/>
      <c r="B40" s="5" t="n"/>
      <c r="C40" s="5" t="n"/>
      <c r="D40" s="5" t="n"/>
      <c r="E40" s="5" t="n"/>
      <c r="F40" s="5" t="n"/>
      <c r="G40" s="5" t="n"/>
      <c r="H40" s="5" t="n"/>
      <c r="I40" s="5" t="n"/>
      <c r="J40" s="5">
        <f>IF(OR(G40="High",G40="Critical"),"Yes — raise or link a risk",IF(G40="","","Monitor"))</f>
        <v/>
      </c>
    </row>
    <row r="41">
      <c r="A41" s="5" t="n"/>
      <c r="B41" s="5" t="n"/>
      <c r="C41" s="5" t="n"/>
      <c r="D41" s="5" t="n"/>
      <c r="E41" s="5" t="n"/>
      <c r="F41" s="5" t="n"/>
      <c r="G41" s="5" t="n"/>
      <c r="H41" s="5" t="n"/>
      <c r="I41" s="5" t="n"/>
      <c r="J41" s="5">
        <f>IF(OR(G41="High",G41="Critical"),"Yes — raise or link a risk",IF(G41="","","Monitor"))</f>
        <v/>
      </c>
    </row>
    <row r="42">
      <c r="A42" s="5" t="n"/>
      <c r="B42" s="5" t="n"/>
      <c r="C42" s="5" t="n"/>
      <c r="D42" s="5" t="n"/>
      <c r="E42" s="5" t="n"/>
      <c r="F42" s="5" t="n"/>
      <c r="G42" s="5" t="n"/>
      <c r="H42" s="5" t="n"/>
      <c r="I42" s="5" t="n"/>
      <c r="J42" s="5">
        <f>IF(OR(G42="High",G42="Critical"),"Yes — raise or link a risk",IF(G42="","","Monitor"))</f>
        <v/>
      </c>
    </row>
    <row r="43">
      <c r="A43" s="5" t="n"/>
      <c r="B43" s="5" t="n"/>
      <c r="C43" s="5" t="n"/>
      <c r="D43" s="5" t="n"/>
      <c r="E43" s="5" t="n"/>
      <c r="F43" s="5" t="n"/>
      <c r="G43" s="5" t="n"/>
      <c r="H43" s="5" t="n"/>
      <c r="I43" s="5" t="n"/>
      <c r="J43" s="5">
        <f>IF(OR(G43="High",G43="Critical"),"Yes — raise or link a risk",IF(G43="","","Monitor"))</f>
        <v/>
      </c>
    </row>
    <row r="44">
      <c r="A44" s="5" t="n"/>
      <c r="B44" s="5" t="n"/>
      <c r="C44" s="5" t="n"/>
      <c r="D44" s="5" t="n"/>
      <c r="E44" s="5" t="n"/>
      <c r="F44" s="5" t="n"/>
      <c r="G44" s="5" t="n"/>
      <c r="H44" s="5" t="n"/>
      <c r="I44" s="5" t="n"/>
      <c r="J44" s="5">
        <f>IF(OR(G44="High",G44="Critical"),"Yes — raise or link a risk",IF(G44="","","Monitor"))</f>
        <v/>
      </c>
    </row>
    <row r="45">
      <c r="A45" s="5" t="n"/>
      <c r="B45" s="5" t="n"/>
      <c r="C45" s="5" t="n"/>
      <c r="D45" s="5" t="n"/>
      <c r="E45" s="5" t="n"/>
      <c r="F45" s="5" t="n"/>
      <c r="G45" s="5" t="n"/>
      <c r="H45" s="5" t="n"/>
      <c r="I45" s="5" t="n"/>
      <c r="J45" s="5">
        <f>IF(OR(G45="High",G45="Critical"),"Yes — raise or link a risk",IF(G45="","","Monitor"))</f>
        <v/>
      </c>
    </row>
    <row r="46">
      <c r="A46" s="5" t="n"/>
      <c r="B46" s="5" t="n"/>
      <c r="C46" s="5" t="n"/>
      <c r="D46" s="5" t="n"/>
      <c r="E46" s="5" t="n"/>
      <c r="F46" s="5" t="n"/>
      <c r="G46" s="5" t="n"/>
      <c r="H46" s="5" t="n"/>
      <c r="I46" s="5" t="n"/>
      <c r="J46" s="5">
        <f>IF(OR(G46="High",G46="Critical"),"Yes — raise or link a risk",IF(G46="","","Monitor"))</f>
        <v/>
      </c>
    </row>
  </sheetData>
  <autoFilter ref="A4:J46"/>
  <mergeCells count="1">
    <mergeCell ref="A2:J2"/>
  </mergeCells>
  <conditionalFormatting sqref="G5:G46">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"Critical"</formula>
    </cfRule>
  </conditionalFormatting>
  <dataValidations count="5">
    <dataValidation sqref="B5:B46" showDropDown="0" showInputMessage="0" showErrorMessage="0" allowBlank="1" errorTitle="Invalid value" error="Pick a value from the list." type="list">
      <formula1>"Internal,External"</formula1>
    </dataValidation>
    <dataValidation sqref="C5:C46" showDropDown="0" showInputMessage="0" showErrorMessage="0" allowBlank="1" errorTitle="Invalid value" error="Pick a value from the list." type="list">
      <formula1>"Political,Economic,Social,Technological,Legal,Environmental,Organisational,Cultural"</formula1>
    </dataValidation>
    <dataValidation sqref="E5:E46" showDropDown="0" showInputMessage="0" showErrorMessage="0" allowBlank="1" errorTitle="Invalid value" error="Pick a value from the list." type="list">
      <formula1>"ISMS,AIMS,Both"</formula1>
    </dataValidation>
    <dataValidation sqref="F5:F46" showDropDown="0" showInputMessage="0" showErrorMessage="0" allowBlank="1" errorTitle="Invalid value" error="Pick a value from the list." type="list">
      <formula1>"Risk,Opportunity,Both"</formula1>
    </dataValidation>
    <dataValidation sqref="G5:G46" showDropDown="0" showInputMessage="0" showErrorMessage="0" allowBlank="1" errorTitle="Invalid value" error="Pick a value from the list." type="list">
      <formula1>"Low,Medium,High,Critical"</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4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2" customWidth="1" min="2" max="2"/>
    <col width="55" customWidth="1" min="3" max="3"/>
    <col width="26" customWidth="1" min="4" max="4"/>
    <col width="12" customWidth="1" min="5" max="5"/>
    <col width="11" customWidth="1" min="6" max="6"/>
    <col width="11" customWidth="1" min="7" max="7"/>
    <col width="22" customWidth="1" min="8" max="8"/>
    <col width="18" customWidth="1" min="9" max="9"/>
  </cols>
  <sheetData>
    <row r="1">
      <c r="A1" s="8" t="inlineStr">
        <is>
          <t>Interested parties and their requirements</t>
        </is>
      </c>
    </row>
    <row r="2" ht="30" customHeight="1">
      <c r="A2" s="3" t="inlineStr">
        <is>
          <t>Who can affect or is affected by our IMS, what they need, and whether we address it. Influence and interest are scored 1–5; priority is calculated. Binding requirements become entries in the Legal &amp; Regulatory sheet.</t>
        </is>
      </c>
    </row>
    <row r="4" ht="32" customHeight="1">
      <c r="A4" s="9" t="inlineStr">
        <is>
          <t>ID</t>
        </is>
      </c>
      <c r="B4" s="9" t="inlineStr">
        <is>
          <t>Interested party</t>
        </is>
      </c>
      <c r="C4" s="9" t="inlineStr">
        <is>
          <t>Needs and expectations (security and AI)</t>
        </is>
      </c>
      <c r="D4" s="9" t="inlineStr">
        <is>
          <t>Source of requirement</t>
        </is>
      </c>
      <c r="E4" s="9" t="inlineStr">
        <is>
          <t>Addressed in IMS?</t>
        </is>
      </c>
      <c r="F4" s="9" t="inlineStr">
        <is>
          <t>Influence (1-5)</t>
        </is>
      </c>
      <c r="G4" s="9" t="inlineStr">
        <is>
          <t>Interest (1-5)</t>
        </is>
      </c>
      <c r="H4" s="9" t="inlineStr">
        <is>
          <t>Priority</t>
        </is>
      </c>
      <c r="I4" s="9" t="inlineStr">
        <is>
          <t>Relationship owner</t>
        </is>
      </c>
    </row>
    <row r="5">
      <c r="A5" s="5" t="inlineStr">
        <is>
          <t>IP-01</t>
        </is>
      </c>
      <c r="B5" s="5" t="inlineStr">
        <is>
          <t>Enterprise customers (agencies, publishers, game studios)</t>
        </is>
      </c>
      <c r="C5" s="5" t="inlineStr">
        <is>
          <t>Confidentiality of unreleased scripts; ISO/IEC 27001 certificate; breach notification within contract times; evidence of responsible AI.</t>
        </is>
      </c>
      <c r="D5" s="5" t="inlineStr">
        <is>
          <t>Contract + DPA</t>
        </is>
      </c>
      <c r="E5" s="5" t="inlineStr">
        <is>
          <t>Yes</t>
        </is>
      </c>
      <c r="F5" s="5" t="n">
        <v>5</v>
      </c>
      <c r="G5" s="5" t="n">
        <v>5</v>
      </c>
      <c r="H5" s="5">
        <f>IFERROR(IF(OR(F5="",G5=""),"",IF(F5*G5&gt;=15,"Manage closely",IF(F5*G5&gt;=8,"Keep satisfied / informed","Monitor"))),"Score 1-5")</f>
        <v/>
      </c>
      <c r="I5" s="5" t="inlineStr">
        <is>
          <t>[CEO]</t>
        </is>
      </c>
    </row>
    <row r="6">
      <c r="A6" s="5" t="inlineStr">
        <is>
          <t>IP-02</t>
        </is>
      </c>
      <c r="B6" s="5" t="inlineStr">
        <is>
          <t>Marketplace artists</t>
        </is>
      </c>
      <c r="C6" s="5" t="inlineStr">
        <is>
          <t>Their work is not used for training without consent; fair ranking and pay; protection of portfolio and payout data.</t>
        </is>
      </c>
      <c r="D6" s="5" t="inlineStr">
        <is>
          <t>Artist Agreement; policy commitment</t>
        </is>
      </c>
      <c r="E6" s="5" t="inlineStr">
        <is>
          <t>Yes</t>
        </is>
      </c>
      <c r="F6" s="5" t="n">
        <v>4</v>
      </c>
      <c r="G6" s="5" t="n">
        <v>5</v>
      </c>
      <c r="H6" s="5">
        <f>IFERROR(IF(OR(F6="",G6=""),"",IF(F6*G6&gt;=15,"Manage closely",IF(F6*G6&gt;=8,"Keep satisfied / informed","Monitor"))),"Score 1-5")</f>
        <v/>
      </c>
      <c r="I6" s="5" t="inlineStr">
        <is>
          <t>[Creative Director]</t>
        </is>
      </c>
    </row>
    <row r="7">
      <c r="A7" s="5" t="inlineStr">
        <is>
          <t>IP-03</t>
        </is>
      </c>
      <c r="B7" s="5" t="inlineStr">
        <is>
          <t>End users of Canvas (writers, designers)</t>
        </is>
      </c>
      <c r="C7" s="5" t="inlineStr">
        <is>
          <t>Service available; outputs labelled; no leakage between customers.</t>
        </is>
      </c>
      <c r="D7" s="5" t="inlineStr">
        <is>
          <t>Terms of service</t>
        </is>
      </c>
      <c r="E7" s="5" t="inlineStr">
        <is>
          <t>Yes</t>
        </is>
      </c>
      <c r="F7" s="5" t="n">
        <v>3</v>
      </c>
      <c r="G7" s="5" t="n">
        <v>4</v>
      </c>
      <c r="H7" s="5">
        <f>IFERROR(IF(OR(F7="",G7=""),"",IF(F7*G7&gt;=15,"Manage closely",IF(F7*G7&gt;=8,"Keep satisfied / informed","Monitor"))),"Score 1-5")</f>
        <v/>
      </c>
      <c r="I7" s="5" t="inlineStr">
        <is>
          <t>[CTO]</t>
        </is>
      </c>
    </row>
    <row r="8">
      <c r="A8" s="5" t="inlineStr">
        <is>
          <t>IP-04</t>
        </is>
      </c>
      <c r="B8" s="5" t="inlineStr">
        <is>
          <t>People depicted or referenced in generated images</t>
        </is>
      </c>
      <c r="C8" s="5" t="inlineStr">
        <is>
          <t>No deceptive deepfakes; respect for likeness and reputation.</t>
        </is>
      </c>
      <c r="D8" s="5" t="inlineStr">
        <is>
          <t>Law (EU AI Act Art. 50); policy commitment</t>
        </is>
      </c>
      <c r="E8" s="5" t="inlineStr">
        <is>
          <t>Yes</t>
        </is>
      </c>
      <c r="F8" s="5" t="n">
        <v>2</v>
      </c>
      <c r="G8" s="5" t="n">
        <v>5</v>
      </c>
      <c r="H8" s="5">
        <f>IFERROR(IF(OR(F8="",G8=""),"",IF(F8*G8&gt;=15,"Manage closely",IF(F8*G8&gt;=8,"Keep satisfied / informed","Monitor"))),"Score 1-5")</f>
        <v/>
      </c>
      <c r="I8" s="5" t="inlineStr">
        <is>
          <t>[Head of AI]</t>
        </is>
      </c>
    </row>
    <row r="9">
      <c r="A9" s="5" t="inlineStr">
        <is>
          <t>IP-05</t>
        </is>
      </c>
      <c r="B9" s="5" t="inlineStr">
        <is>
          <t>Data protection regulators (UAE, EU, UK)</t>
        </is>
      </c>
      <c r="C9" s="5" t="inlineStr">
        <is>
          <t>Lawful processing; notification of breaches; records of processing.</t>
        </is>
      </c>
      <c r="D9" s="5" t="inlineStr">
        <is>
          <t>Law</t>
        </is>
      </c>
      <c r="E9" s="5" t="inlineStr">
        <is>
          <t>Yes</t>
        </is>
      </c>
      <c r="F9" s="5" t="n">
        <v>5</v>
      </c>
      <c r="G9" s="5" t="n">
        <v>3</v>
      </c>
      <c r="H9" s="5">
        <f>IFERROR(IF(OR(F9="",G9=""),"",IF(F9*G9&gt;=15,"Manage closely",IF(F9*G9&gt;=8,"Keep satisfied / informed","Monitor"))),"Score 1-5")</f>
        <v/>
      </c>
      <c r="I9" s="5" t="inlineStr">
        <is>
          <t>[Privacy and Legal Lead]</t>
        </is>
      </c>
    </row>
    <row r="10">
      <c r="A10" s="5" t="inlineStr">
        <is>
          <t>IP-06</t>
        </is>
      </c>
      <c r="B10" s="5" t="inlineStr">
        <is>
          <t>Staff and contractors</t>
        </is>
      </c>
      <c r="C10" s="5" t="inlineStr">
        <is>
          <t>Clear rules, training, safe channels to raise concerns, privacy of HR data.</t>
        </is>
      </c>
      <c r="D10" s="5" t="inlineStr">
        <is>
          <t>Employment law; policy</t>
        </is>
      </c>
      <c r="E10" s="5" t="inlineStr">
        <is>
          <t>Yes</t>
        </is>
      </c>
      <c r="F10" s="5" t="n">
        <v>3</v>
      </c>
      <c r="G10" s="5" t="n">
        <v>4</v>
      </c>
      <c r="H10" s="5">
        <f>IFERROR(IF(OR(F10="",G10=""),"",IF(F10*G10&gt;=15,"Manage closely",IF(F10*G10&gt;=8,"Keep satisfied / informed","Monitor"))),"Score 1-5")</f>
        <v/>
      </c>
      <c r="I10" s="5" t="inlineStr">
        <is>
          <t>[People and Operations Lead]</t>
        </is>
      </c>
    </row>
    <row r="11">
      <c r="A11" s="5" t="inlineStr">
        <is>
          <t>IP-07</t>
        </is>
      </c>
      <c r="B11" s="5" t="inlineStr">
        <is>
          <t>Investors and board</t>
        </is>
      </c>
      <c r="C11" s="5" t="inlineStr">
        <is>
          <t>Certification on plan; no reputation-damaging incident.</t>
        </is>
      </c>
      <c r="D11" s="5" t="inlineStr">
        <is>
          <t>Shareholder agreement (reporting)</t>
        </is>
      </c>
      <c r="E11" s="5" t="inlineStr">
        <is>
          <t>Partly</t>
        </is>
      </c>
      <c r="F11" s="5" t="n">
        <v>5</v>
      </c>
      <c r="G11" s="5" t="n">
        <v>4</v>
      </c>
      <c r="H11" s="5">
        <f>IFERROR(IF(OR(F11="",G11=""),"",IF(F11*G11&gt;=15,"Manage closely",IF(F11*G11&gt;=8,"Keep satisfied / informed","Monitor"))),"Score 1-5")</f>
        <v/>
      </c>
      <c r="I11" s="5" t="inlineStr">
        <is>
          <t>[CEO]</t>
        </is>
      </c>
    </row>
    <row r="12">
      <c r="A12" s="5" t="inlineStr">
        <is>
          <t>IP-08</t>
        </is>
      </c>
      <c r="B12" s="5" t="inlineStr">
        <is>
          <t>AI model and API suppliers</t>
        </is>
      </c>
      <c r="C12" s="5" t="inlineStr">
        <is>
          <t>Use within their acceptable-use policy; secure API key handling.</t>
        </is>
      </c>
      <c r="D12" s="5" t="inlineStr">
        <is>
          <t>Contract</t>
        </is>
      </c>
      <c r="E12" s="5" t="inlineStr">
        <is>
          <t>Yes</t>
        </is>
      </c>
      <c r="F12" s="5" t="n">
        <v>3</v>
      </c>
      <c r="G12" s="5" t="n">
        <v>3</v>
      </c>
      <c r="H12" s="5">
        <f>IFERROR(IF(OR(F12="",G12=""),"",IF(F12*G12&gt;=15,"Manage closely",IF(F12*G12&gt;=8,"Keep satisfied / informed","Monitor"))),"Score 1-5")</f>
        <v/>
      </c>
      <c r="I12" s="5" t="inlineStr">
        <is>
          <t>[Privacy and Legal Lead]</t>
        </is>
      </c>
    </row>
    <row r="13">
      <c r="A13" s="5" t="inlineStr">
        <is>
          <t>IP-09</t>
        </is>
      </c>
      <c r="B13" s="5" t="inlineStr">
        <is>
          <t>Content-moderation vendor (SafeFrame)</t>
        </is>
      </c>
      <c r="C13" s="5" t="inlineStr">
        <is>
          <t>Feedback on missed detections; agreed change notice.</t>
        </is>
      </c>
      <c r="D13" s="5" t="inlineStr">
        <is>
          <t>Contract (CA-2026-004)</t>
        </is>
      </c>
      <c r="E13" s="5" t="inlineStr">
        <is>
          <t>Yes</t>
        </is>
      </c>
      <c r="F13" s="5" t="n">
        <v>3</v>
      </c>
      <c r="G13" s="5" t="n">
        <v>3</v>
      </c>
      <c r="H13" s="5">
        <f>IFERROR(IF(OR(F13="",G13=""),"",IF(F13*G13&gt;=15,"Manage closely",IF(F13*G13&gt;=8,"Keep satisfied / informed","Monitor"))),"Score 1-5")</f>
        <v/>
      </c>
      <c r="I13" s="5" t="inlineStr">
        <is>
          <t>[Creative Director]</t>
        </is>
      </c>
    </row>
    <row r="14">
      <c r="A14" s="5" t="inlineStr">
        <is>
          <t>IP-10</t>
        </is>
      </c>
      <c r="B14" s="5" t="inlineStr">
        <is>
          <t>Certification body</t>
        </is>
      </c>
      <c r="C14" s="5" t="inlineStr">
        <is>
          <t>Access to evidence and people; timely closure of findings.</t>
        </is>
      </c>
      <c r="D14" s="5" t="inlineStr">
        <is>
          <t>Certification agreement</t>
        </is>
      </c>
      <c r="E14" s="5" t="inlineStr">
        <is>
          <t>Yes</t>
        </is>
      </c>
      <c r="F14" s="5" t="n">
        <v>4</v>
      </c>
      <c r="G14" s="5" t="n">
        <v>3</v>
      </c>
      <c r="H14" s="5">
        <f>IFERROR(IF(OR(F14="",G14=""),"",IF(F14*G14&gt;=15,"Manage closely",IF(F14*G14&gt;=8,"Keep satisfied / informed","Monitor"))),"Score 1-5")</f>
        <v/>
      </c>
      <c r="I14" s="5" t="inlineStr">
        <is>
          <t>[Compliance Coordinator]</t>
        </is>
      </c>
    </row>
    <row r="15">
      <c r="A15" s="5" t="inlineStr">
        <is>
          <t>IP-11</t>
        </is>
      </c>
      <c r="B15" s="5" t="inlineStr">
        <is>
          <t>Wider public and media</t>
        </is>
      </c>
      <c r="C15" s="5" t="inlineStr">
        <is>
          <t>Honest labelling of AI content; no harmful imagery.</t>
        </is>
      </c>
      <c r="D15" s="5" t="inlineStr">
        <is>
          <t>Not binding — policy commitment only</t>
        </is>
      </c>
      <c r="E15" s="5" t="inlineStr">
        <is>
          <t>Partly</t>
        </is>
      </c>
      <c r="F15" s="5" t="n">
        <v>3</v>
      </c>
      <c r="G15" s="5" t="n">
        <v>2</v>
      </c>
      <c r="H15" s="5">
        <f>IFERROR(IF(OR(F15="",G15=""),"",IF(F15*G15&gt;=15,"Manage closely",IF(F15*G15&gt;=8,"Keep satisfied / informed","Monitor"))),"Score 1-5")</f>
        <v/>
      </c>
      <c r="I15" s="5" t="inlineStr">
        <is>
          <t>[CEO]</t>
        </is>
      </c>
    </row>
    <row r="16">
      <c r="A16" s="5" t="inlineStr">
        <is>
          <t>IP-12</t>
        </is>
      </c>
      <c r="B16" s="10" t="inlineStr">
        <is>
          <t>[interested party]</t>
        </is>
      </c>
      <c r="C16" s="10" t="inlineStr">
        <is>
          <t>[their needs and expectations]</t>
        </is>
      </c>
      <c r="D16" s="10" t="inlineStr">
        <is>
          <t>[source]</t>
        </is>
      </c>
      <c r="E16" s="10" t="inlineStr">
        <is>
          <t>[Yes/No/Partly]</t>
        </is>
      </c>
      <c r="F16" s="10" t="inlineStr">
        <is>
          <t>[1-5]</t>
        </is>
      </c>
      <c r="G16" s="10" t="inlineStr">
        <is>
          <t>[1-5]</t>
        </is>
      </c>
      <c r="H16" s="5">
        <f>IFERROR(IF(OR(F16="",G16=""),"",IF(F16*G16&gt;=15,"Manage closely",IF(F16*G16&gt;=8,"Keep satisfied / informed","Monitor"))),"Score 1-5")</f>
        <v/>
      </c>
      <c r="I16" s="10" t="inlineStr">
        <is>
          <t>[owner]</t>
        </is>
      </c>
    </row>
    <row r="17">
      <c r="A17" s="5" t="n"/>
      <c r="B17" s="5" t="n"/>
      <c r="C17" s="5" t="n"/>
      <c r="D17" s="5" t="n"/>
      <c r="E17" s="5" t="n"/>
      <c r="F17" s="5" t="n"/>
      <c r="G17" s="5" t="n"/>
      <c r="H17" s="5">
        <f>IFERROR(IF(OR(F17="",G17=""),"",IF(F17*G17&gt;=15,"Manage closely",IF(F17*G17&gt;=8,"Keep satisfied / informed","Monitor"))),"Score 1-5")</f>
        <v/>
      </c>
      <c r="I17" s="5" t="n"/>
    </row>
    <row r="18">
      <c r="A18" s="5" t="n"/>
      <c r="B18" s="5" t="n"/>
      <c r="C18" s="5" t="n"/>
      <c r="D18" s="5" t="n"/>
      <c r="E18" s="5" t="n"/>
      <c r="F18" s="5" t="n"/>
      <c r="G18" s="5" t="n"/>
      <c r="H18" s="5">
        <f>IFERROR(IF(OR(F18="",G18=""),"",IF(F18*G18&gt;=15,"Manage closely",IF(F18*G18&gt;=8,"Keep satisfied / informed","Monitor"))),"Score 1-5")</f>
        <v/>
      </c>
      <c r="I18" s="5" t="n"/>
    </row>
    <row r="19">
      <c r="A19" s="5" t="n"/>
      <c r="B19" s="5" t="n"/>
      <c r="C19" s="5" t="n"/>
      <c r="D19" s="5" t="n"/>
      <c r="E19" s="5" t="n"/>
      <c r="F19" s="5" t="n"/>
      <c r="G19" s="5" t="n"/>
      <c r="H19" s="5">
        <f>IFERROR(IF(OR(F19="",G19=""),"",IF(F19*G19&gt;=15,"Manage closely",IF(F19*G19&gt;=8,"Keep satisfied / informed","Monitor"))),"Score 1-5")</f>
        <v/>
      </c>
      <c r="I19" s="5" t="n"/>
    </row>
    <row r="20">
      <c r="A20" s="5" t="n"/>
      <c r="B20" s="5" t="n"/>
      <c r="C20" s="5" t="n"/>
      <c r="D20" s="5" t="n"/>
      <c r="E20" s="5" t="n"/>
      <c r="F20" s="5" t="n"/>
      <c r="G20" s="5" t="n"/>
      <c r="H20" s="5">
        <f>IFERROR(IF(OR(F20="",G20=""),"",IF(F20*G20&gt;=15,"Manage closely",IF(F20*G20&gt;=8,"Keep satisfied / informed","Monitor"))),"Score 1-5")</f>
        <v/>
      </c>
      <c r="I20" s="5" t="n"/>
    </row>
    <row r="21">
      <c r="A21" s="5" t="n"/>
      <c r="B21" s="5" t="n"/>
      <c r="C21" s="5" t="n"/>
      <c r="D21" s="5" t="n"/>
      <c r="E21" s="5" t="n"/>
      <c r="F21" s="5" t="n"/>
      <c r="G21" s="5" t="n"/>
      <c r="H21" s="5">
        <f>IFERROR(IF(OR(F21="",G21=""),"",IF(F21*G21&gt;=15,"Manage closely",IF(F21*G21&gt;=8,"Keep satisfied / informed","Monitor"))),"Score 1-5")</f>
        <v/>
      </c>
      <c r="I21" s="5" t="n"/>
    </row>
    <row r="22">
      <c r="A22" s="5" t="n"/>
      <c r="B22" s="5" t="n"/>
      <c r="C22" s="5" t="n"/>
      <c r="D22" s="5" t="n"/>
      <c r="E22" s="5" t="n"/>
      <c r="F22" s="5" t="n"/>
      <c r="G22" s="5" t="n"/>
      <c r="H22" s="5">
        <f>IFERROR(IF(OR(F22="",G22=""),"",IF(F22*G22&gt;=15,"Manage closely",IF(F22*G22&gt;=8,"Keep satisfied / informed","Monitor"))),"Score 1-5")</f>
        <v/>
      </c>
      <c r="I22" s="5" t="n"/>
    </row>
    <row r="23">
      <c r="A23" s="5" t="n"/>
      <c r="B23" s="5" t="n"/>
      <c r="C23" s="5" t="n"/>
      <c r="D23" s="5" t="n"/>
      <c r="E23" s="5" t="n"/>
      <c r="F23" s="5" t="n"/>
      <c r="G23" s="5" t="n"/>
      <c r="H23" s="5">
        <f>IFERROR(IF(OR(F23="",G23=""),"",IF(F23*G23&gt;=15,"Manage closely",IF(F23*G23&gt;=8,"Keep satisfied / informed","Monitor"))),"Score 1-5")</f>
        <v/>
      </c>
      <c r="I23" s="5" t="n"/>
    </row>
    <row r="24">
      <c r="A24" s="5" t="n"/>
      <c r="B24" s="5" t="n"/>
      <c r="C24" s="5" t="n"/>
      <c r="D24" s="5" t="n"/>
      <c r="E24" s="5" t="n"/>
      <c r="F24" s="5" t="n"/>
      <c r="G24" s="5" t="n"/>
      <c r="H24" s="5">
        <f>IFERROR(IF(OR(F24="",G24=""),"",IF(F24*G24&gt;=15,"Manage closely",IF(F24*G24&gt;=8,"Keep satisfied / informed","Monitor"))),"Score 1-5")</f>
        <v/>
      </c>
      <c r="I24" s="5" t="n"/>
    </row>
    <row r="25">
      <c r="A25" s="5" t="n"/>
      <c r="B25" s="5" t="n"/>
      <c r="C25" s="5" t="n"/>
      <c r="D25" s="5" t="n"/>
      <c r="E25" s="5" t="n"/>
      <c r="F25" s="5" t="n"/>
      <c r="G25" s="5" t="n"/>
      <c r="H25" s="5">
        <f>IFERROR(IF(OR(F25="",G25=""),"",IF(F25*G25&gt;=15,"Manage closely",IF(F25*G25&gt;=8,"Keep satisfied / informed","Monitor"))),"Score 1-5")</f>
        <v/>
      </c>
      <c r="I25" s="5" t="n"/>
    </row>
    <row r="26">
      <c r="A26" s="5" t="n"/>
      <c r="B26" s="5" t="n"/>
      <c r="C26" s="5" t="n"/>
      <c r="D26" s="5" t="n"/>
      <c r="E26" s="5" t="n"/>
      <c r="F26" s="5" t="n"/>
      <c r="G26" s="5" t="n"/>
      <c r="H26" s="5">
        <f>IFERROR(IF(OR(F26="",G26=""),"",IF(F26*G26&gt;=15,"Manage closely",IF(F26*G26&gt;=8,"Keep satisfied / informed","Monitor"))),"Score 1-5")</f>
        <v/>
      </c>
      <c r="I26" s="5" t="n"/>
    </row>
    <row r="27">
      <c r="A27" s="5" t="n"/>
      <c r="B27" s="5" t="n"/>
      <c r="C27" s="5" t="n"/>
      <c r="D27" s="5" t="n"/>
      <c r="E27" s="5" t="n"/>
      <c r="F27" s="5" t="n"/>
      <c r="G27" s="5" t="n"/>
      <c r="H27" s="5">
        <f>IFERROR(IF(OR(F27="",G27=""),"",IF(F27*G27&gt;=15,"Manage closely",IF(F27*G27&gt;=8,"Keep satisfied / informed","Monitor"))),"Score 1-5")</f>
        <v/>
      </c>
      <c r="I27" s="5" t="n"/>
    </row>
    <row r="28">
      <c r="A28" s="5" t="n"/>
      <c r="B28" s="5" t="n"/>
      <c r="C28" s="5" t="n"/>
      <c r="D28" s="5" t="n"/>
      <c r="E28" s="5" t="n"/>
      <c r="F28" s="5" t="n"/>
      <c r="G28" s="5" t="n"/>
      <c r="H28" s="5">
        <f>IFERROR(IF(OR(F28="",G28=""),"",IF(F28*G28&gt;=15,"Manage closely",IF(F28*G28&gt;=8,"Keep satisfied / informed","Monitor"))),"Score 1-5")</f>
        <v/>
      </c>
      <c r="I28" s="5" t="n"/>
    </row>
    <row r="29">
      <c r="A29" s="5" t="n"/>
      <c r="B29" s="5" t="n"/>
      <c r="C29" s="5" t="n"/>
      <c r="D29" s="5" t="n"/>
      <c r="E29" s="5" t="n"/>
      <c r="F29" s="5" t="n"/>
      <c r="G29" s="5" t="n"/>
      <c r="H29" s="5">
        <f>IFERROR(IF(OR(F29="",G29=""),"",IF(F29*G29&gt;=15,"Manage closely",IF(F29*G29&gt;=8,"Keep satisfied / informed","Monitor"))),"Score 1-5")</f>
        <v/>
      </c>
      <c r="I29" s="5" t="n"/>
    </row>
    <row r="30">
      <c r="A30" s="5" t="n"/>
      <c r="B30" s="5" t="n"/>
      <c r="C30" s="5" t="n"/>
      <c r="D30" s="5" t="n"/>
      <c r="E30" s="5" t="n"/>
      <c r="F30" s="5" t="n"/>
      <c r="G30" s="5" t="n"/>
      <c r="H30" s="5">
        <f>IFERROR(IF(OR(F30="",G30=""),"",IF(F30*G30&gt;=15,"Manage closely",IF(F30*G30&gt;=8,"Keep satisfied / informed","Monitor"))),"Score 1-5")</f>
        <v/>
      </c>
      <c r="I30" s="5" t="n"/>
    </row>
    <row r="31">
      <c r="A31" s="5" t="n"/>
      <c r="B31" s="5" t="n"/>
      <c r="C31" s="5" t="n"/>
      <c r="D31" s="5" t="n"/>
      <c r="E31" s="5" t="n"/>
      <c r="F31" s="5" t="n"/>
      <c r="G31" s="5" t="n"/>
      <c r="H31" s="5">
        <f>IFERROR(IF(OR(F31="",G31=""),"",IF(F31*G31&gt;=15,"Manage closely",IF(F31*G31&gt;=8,"Keep satisfied / informed","Monitor"))),"Score 1-5")</f>
        <v/>
      </c>
      <c r="I31" s="5" t="n"/>
    </row>
    <row r="32">
      <c r="A32" s="5" t="n"/>
      <c r="B32" s="5" t="n"/>
      <c r="C32" s="5" t="n"/>
      <c r="D32" s="5" t="n"/>
      <c r="E32" s="5" t="n"/>
      <c r="F32" s="5" t="n"/>
      <c r="G32" s="5" t="n"/>
      <c r="H32" s="5">
        <f>IFERROR(IF(OR(F32="",G32=""),"",IF(F32*G32&gt;=15,"Manage closely",IF(F32*G32&gt;=8,"Keep satisfied / informed","Monitor"))),"Score 1-5")</f>
        <v/>
      </c>
      <c r="I32" s="5" t="n"/>
    </row>
    <row r="33">
      <c r="A33" s="5" t="n"/>
      <c r="B33" s="5" t="n"/>
      <c r="C33" s="5" t="n"/>
      <c r="D33" s="5" t="n"/>
      <c r="E33" s="5" t="n"/>
      <c r="F33" s="5" t="n"/>
      <c r="G33" s="5" t="n"/>
      <c r="H33" s="5">
        <f>IFERROR(IF(OR(F33="",G33=""),"",IF(F33*G33&gt;=15,"Manage closely",IF(F33*G33&gt;=8,"Keep satisfied / informed","Monitor"))),"Score 1-5")</f>
        <v/>
      </c>
      <c r="I33" s="5" t="n"/>
    </row>
    <row r="34">
      <c r="A34" s="5" t="n"/>
      <c r="B34" s="5" t="n"/>
      <c r="C34" s="5" t="n"/>
      <c r="D34" s="5" t="n"/>
      <c r="E34" s="5" t="n"/>
      <c r="F34" s="5" t="n"/>
      <c r="G34" s="5" t="n"/>
      <c r="H34" s="5">
        <f>IFERROR(IF(OR(F34="",G34=""),"",IF(F34*G34&gt;=15,"Manage closely",IF(F34*G34&gt;=8,"Keep satisfied / informed","Monitor"))),"Score 1-5")</f>
        <v/>
      </c>
      <c r="I34" s="5" t="n"/>
    </row>
    <row r="35">
      <c r="A35" s="5" t="n"/>
      <c r="B35" s="5" t="n"/>
      <c r="C35" s="5" t="n"/>
      <c r="D35" s="5" t="n"/>
      <c r="E35" s="5" t="n"/>
      <c r="F35" s="5" t="n"/>
      <c r="G35" s="5" t="n"/>
      <c r="H35" s="5">
        <f>IFERROR(IF(OR(F35="",G35=""),"",IF(F35*G35&gt;=15,"Manage closely",IF(F35*G35&gt;=8,"Keep satisfied / informed","Monitor"))),"Score 1-5")</f>
        <v/>
      </c>
      <c r="I35" s="5" t="n"/>
    </row>
    <row r="36">
      <c r="A36" s="5" t="n"/>
      <c r="B36" s="5" t="n"/>
      <c r="C36" s="5" t="n"/>
      <c r="D36" s="5" t="n"/>
      <c r="E36" s="5" t="n"/>
      <c r="F36" s="5" t="n"/>
      <c r="G36" s="5" t="n"/>
      <c r="H36" s="5">
        <f>IFERROR(IF(OR(F36="",G36=""),"",IF(F36*G36&gt;=15,"Manage closely",IF(F36*G36&gt;=8,"Keep satisfied / informed","Monitor"))),"Score 1-5")</f>
        <v/>
      </c>
      <c r="I36" s="5" t="n"/>
    </row>
    <row r="37">
      <c r="A37" s="5" t="n"/>
      <c r="B37" s="5" t="n"/>
      <c r="C37" s="5" t="n"/>
      <c r="D37" s="5" t="n"/>
      <c r="E37" s="5" t="n"/>
      <c r="F37" s="5" t="n"/>
      <c r="G37" s="5" t="n"/>
      <c r="H37" s="5">
        <f>IFERROR(IF(OR(F37="",G37=""),"",IF(F37*G37&gt;=15,"Manage closely",IF(F37*G37&gt;=8,"Keep satisfied / informed","Monitor"))),"Score 1-5")</f>
        <v/>
      </c>
      <c r="I37" s="5" t="n"/>
    </row>
    <row r="38">
      <c r="A38" s="5" t="n"/>
      <c r="B38" s="5" t="n"/>
      <c r="C38" s="5" t="n"/>
      <c r="D38" s="5" t="n"/>
      <c r="E38" s="5" t="n"/>
      <c r="F38" s="5" t="n"/>
      <c r="G38" s="5" t="n"/>
      <c r="H38" s="5">
        <f>IFERROR(IF(OR(F38="",G38=""),"",IF(F38*G38&gt;=15,"Manage closely",IF(F38*G38&gt;=8,"Keep satisfied / informed","Monitor"))),"Score 1-5")</f>
        <v/>
      </c>
      <c r="I38" s="5" t="n"/>
    </row>
    <row r="39">
      <c r="A39" s="5" t="n"/>
      <c r="B39" s="5" t="n"/>
      <c r="C39" s="5" t="n"/>
      <c r="D39" s="5" t="n"/>
      <c r="E39" s="5" t="n"/>
      <c r="F39" s="5" t="n"/>
      <c r="G39" s="5" t="n"/>
      <c r="H39" s="5">
        <f>IFERROR(IF(OR(F39="",G39=""),"",IF(F39*G39&gt;=15,"Manage closely",IF(F39*G39&gt;=8,"Keep satisfied / informed","Monitor"))),"Score 1-5")</f>
        <v/>
      </c>
      <c r="I39" s="5" t="n"/>
    </row>
    <row r="40">
      <c r="A40" s="5" t="n"/>
      <c r="B40" s="5" t="n"/>
      <c r="C40" s="5" t="n"/>
      <c r="D40" s="5" t="n"/>
      <c r="E40" s="5" t="n"/>
      <c r="F40" s="5" t="n"/>
      <c r="G40" s="5" t="n"/>
      <c r="H40" s="5">
        <f>IFERROR(IF(OR(F40="",G40=""),"",IF(F40*G40&gt;=15,"Manage closely",IF(F40*G40&gt;=8,"Keep satisfied / informed","Monitor"))),"Score 1-5")</f>
        <v/>
      </c>
      <c r="I40" s="5" t="n"/>
    </row>
    <row r="41">
      <c r="A41" s="5" t="n"/>
      <c r="B41" s="5" t="n"/>
      <c r="C41" s="5" t="n"/>
      <c r="D41" s="5" t="n"/>
      <c r="E41" s="5" t="n"/>
      <c r="F41" s="5" t="n"/>
      <c r="G41" s="5" t="n"/>
      <c r="H41" s="5">
        <f>IFERROR(IF(OR(F41="",G41=""),"",IF(F41*G41&gt;=15,"Manage closely",IF(F41*G41&gt;=8,"Keep satisfied / informed","Monitor"))),"Score 1-5")</f>
        <v/>
      </c>
      <c r="I41" s="5" t="n"/>
    </row>
    <row r="42">
      <c r="A42" s="5" t="n"/>
      <c r="B42" s="5" t="n"/>
      <c r="C42" s="5" t="n"/>
      <c r="D42" s="5" t="n"/>
      <c r="E42" s="5" t="n"/>
      <c r="F42" s="5" t="n"/>
      <c r="G42" s="5" t="n"/>
      <c r="H42" s="5">
        <f>IFERROR(IF(OR(F42="",G42=""),"",IF(F42*G42&gt;=15,"Manage closely",IF(F42*G42&gt;=8,"Keep satisfied / informed","Monitor"))),"Score 1-5")</f>
        <v/>
      </c>
      <c r="I42" s="5" t="n"/>
    </row>
    <row r="43">
      <c r="A43" s="5" t="n"/>
      <c r="B43" s="5" t="n"/>
      <c r="C43" s="5" t="n"/>
      <c r="D43" s="5" t="n"/>
      <c r="E43" s="5" t="n"/>
      <c r="F43" s="5" t="n"/>
      <c r="G43" s="5" t="n"/>
      <c r="H43" s="5">
        <f>IFERROR(IF(OR(F43="",G43=""),"",IF(F43*G43&gt;=15,"Manage closely",IF(F43*G43&gt;=8,"Keep satisfied / informed","Monitor"))),"Score 1-5")</f>
        <v/>
      </c>
      <c r="I43" s="5" t="n"/>
    </row>
    <row r="44">
      <c r="A44" s="5" t="n"/>
      <c r="B44" s="5" t="n"/>
      <c r="C44" s="5" t="n"/>
      <c r="D44" s="5" t="n"/>
      <c r="E44" s="5" t="n"/>
      <c r="F44" s="5" t="n"/>
      <c r="G44" s="5" t="n"/>
      <c r="H44" s="5">
        <f>IFERROR(IF(OR(F44="",G44=""),"",IF(F44*G44&gt;=15,"Manage closely",IF(F44*G44&gt;=8,"Keep satisfied / informed","Monitor"))),"Score 1-5")</f>
        <v/>
      </c>
      <c r="I44" s="5" t="n"/>
    </row>
    <row r="45">
      <c r="A45" s="5" t="n"/>
      <c r="B45" s="5" t="n"/>
      <c r="C45" s="5" t="n"/>
      <c r="D45" s="5" t="n"/>
      <c r="E45" s="5" t="n"/>
      <c r="F45" s="5" t="n"/>
      <c r="G45" s="5" t="n"/>
      <c r="H45" s="5">
        <f>IFERROR(IF(OR(F45="",G45=""),"",IF(F45*G45&gt;=15,"Manage closely",IF(F45*G45&gt;=8,"Keep satisfied / informed","Monitor"))),"Score 1-5")</f>
        <v/>
      </c>
      <c r="I45" s="5" t="n"/>
    </row>
    <row r="46">
      <c r="A46" s="5" t="n"/>
      <c r="B46" s="5" t="n"/>
      <c r="C46" s="5" t="n"/>
      <c r="D46" s="5" t="n"/>
      <c r="E46" s="5" t="n"/>
      <c r="F46" s="5" t="n"/>
      <c r="G46" s="5" t="n"/>
      <c r="H46" s="5">
        <f>IFERROR(IF(OR(F46="",G46=""),"",IF(F46*G46&gt;=15,"Manage closely",IF(F46*G46&gt;=8,"Keep satisfied / informed","Monitor"))),"Score 1-5")</f>
        <v/>
      </c>
      <c r="I46" s="5" t="n"/>
    </row>
  </sheetData>
  <autoFilter ref="A4:I46"/>
  <mergeCells count="1">
    <mergeCell ref="A2:I2"/>
  </mergeCells>
  <conditionalFormatting sqref="E5:E46">
    <cfRule type="cellIs" priority="1" operator="equal" dxfId="0">
      <formula>"Implemented"</formula>
    </cfRule>
    <cfRule type="cellIs" priority="2" operator="equal" dxfId="0">
      <formula>"Done"</formula>
    </cfRule>
    <cfRule type="cellIs" priority="3" operator="equal" dxfId="0">
      <formula>"Closed"</formula>
    </cfRule>
    <cfRule type="cellIs" priority="4" operator="equal" dxfId="0">
      <formula>"Yes"</formula>
    </cfRule>
    <cfRule type="cellIs" priority="5" operator="equal" dxfId="0">
      <formula>"Met"</formula>
    </cfRule>
    <cfRule type="cellIs" priority="6" operator="equal" dxfId="1">
      <formula>"Partially implemented"</formula>
    </cfRule>
    <cfRule type="cellIs" priority="7" operator="equal" dxfId="1">
      <formula>"Partial"</formula>
    </cfRule>
    <cfRule type="cellIs" priority="8" operator="equal" dxfId="1">
      <formula>"Done late"</formula>
    </cfRule>
    <cfRule type="cellIs" priority="9" operator="equal" dxfId="1">
      <formula>"In progress"</formula>
    </cfRule>
    <cfRule type="cellIs" priority="10" operator="equal" dxfId="1">
      <formula>"Open"</formula>
    </cfRule>
    <cfRule type="cellIs" priority="11" operator="equal" dxfId="1">
      <formula>"On track"</formula>
    </cfRule>
    <cfRule type="cellIs" priority="12" operator="equal" dxfId="4">
      <formula>"Planned"</formula>
    </cfRule>
    <cfRule type="cellIs" priority="13" operator="equal" dxfId="5">
      <formula>"Not started"</formula>
    </cfRule>
    <cfRule type="cellIs" priority="14" operator="equal" dxfId="2">
      <formula>"Not implemented"</formula>
    </cfRule>
    <cfRule type="cellIs" priority="15" operator="equal" dxfId="2">
      <formula>"No"</formula>
    </cfRule>
    <cfRule type="cellIs" priority="16" operator="equal" dxfId="2">
      <formula>"Overdue"</formula>
    </cfRule>
    <cfRule type="cellIs" priority="17" operator="equal" dxfId="2">
      <formula>"Not met"</formula>
    </cfRule>
    <cfRule type="cellIs" priority="18" operator="equal" dxfId="6">
      <formula>"Excluded"</formula>
    </cfRule>
  </conditionalFormatting>
  <dataValidations count="3">
    <dataValidation sqref="E5:E46" showDropDown="0" showInputMessage="0" showErrorMessage="0" allowBlank="1" errorTitle="Invalid value" error="Pick a value from the list." type="list">
      <formula1>"Yes,No,Partly"</formula1>
    </dataValidation>
    <dataValidation sqref="F5:F46" showDropDown="0" showInputMessage="0" showErrorMessage="0" allowBlank="1" errorTitle="Invalid value" error="Pick a value from the list." type="list">
      <formula1>"1,2,3,4,5"</formula1>
    </dataValidation>
    <dataValidation sqref="G5:G46" showDropDown="0" showInputMessage="0" showErrorMessage="0" allowBlank="1" errorTitle="Invalid value" error="Pick a value from the list." type="list">
      <formula1>"1,2,3,4,5"</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4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5" customWidth="1" min="2" max="2"/>
    <col width="12" customWidth="1" min="3" max="3"/>
    <col width="40" customWidth="1" min="4" max="4"/>
    <col width="16" customWidth="1" min="5" max="5"/>
    <col width="18" customWidth="1" min="6" max="6"/>
    <col width="15" customWidth="1" min="7" max="7"/>
    <col width="13" customWidth="1" min="8" max="8"/>
    <col width="13" customWidth="1" min="9" max="9"/>
    <col width="45" customWidth="1" min="10" max="10"/>
  </cols>
  <sheetData>
    <row r="1">
      <c r="A1" s="8" t="inlineStr">
        <is>
          <t>Legal, regulatory and contractual requirements register</t>
        </is>
      </c>
    </row>
    <row r="2" ht="30" customHeight="1">
      <c r="A2" s="3" t="inlineStr">
        <is>
          <t>Every law, regulation and contract term we must meet. Owners review each entry at least yearly; 'Next review' is calculated from 'Last reviewed'.</t>
        </is>
      </c>
    </row>
    <row r="4" ht="32" customHeight="1">
      <c r="A4" s="9" t="inlineStr">
        <is>
          <t>ID</t>
        </is>
      </c>
      <c r="B4" s="9" t="inlineStr">
        <is>
          <t>Requirement</t>
        </is>
      </c>
      <c r="C4" s="9" t="inlineStr">
        <is>
          <t>Jurisdiction</t>
        </is>
      </c>
      <c r="D4" s="9" t="inlineStr">
        <is>
          <t>What it applies to</t>
        </is>
      </c>
      <c r="E4" s="9" t="inlineStr">
        <is>
          <t>Type</t>
        </is>
      </c>
      <c r="F4" s="9" t="inlineStr">
        <is>
          <t>Owner</t>
        </is>
      </c>
      <c r="G4" s="9" t="inlineStr">
        <is>
          <t>Compliance status</t>
        </is>
      </c>
      <c r="H4" s="9" t="inlineStr">
        <is>
          <t>Last reviewed</t>
        </is>
      </c>
      <c r="I4" s="9" t="inlineStr">
        <is>
          <t>Next review</t>
        </is>
      </c>
      <c r="J4" s="9" t="inlineStr">
        <is>
          <t>Evidence / notes</t>
        </is>
      </c>
    </row>
    <row r="5">
      <c r="A5" s="5" t="inlineStr">
        <is>
          <t>LEG-01</t>
        </is>
      </c>
      <c r="B5" s="5" t="inlineStr">
        <is>
          <t>UAE Federal Decree-Law No. 45 of 2021 (Personal Data Protection Law)</t>
        </is>
      </c>
      <c r="C5" s="5" t="inlineStr">
        <is>
          <t>UAE</t>
        </is>
      </c>
      <c r="D5" s="5" t="inlineStr">
        <is>
          <t>Personal data of UAE customers, artists and staff</t>
        </is>
      </c>
      <c r="E5" s="5" t="inlineStr">
        <is>
          <t>Law / regulation</t>
        </is>
      </c>
      <c r="F5" s="5" t="inlineStr">
        <is>
          <t>[Privacy and Legal Lead]</t>
        </is>
      </c>
      <c r="G5" s="5" t="inlineStr">
        <is>
          <t>Partial</t>
        </is>
      </c>
      <c r="H5" s="11" t="n">
        <v>46266</v>
      </c>
      <c r="I5" s="5">
        <f>IF(H5="","",TEXT(H5+365,"yyyy-mm-dd"))</f>
        <v/>
      </c>
      <c r="J5" s="5" t="inlineStr">
        <is>
          <t>Records of processing complete; cross-border transfer review in progress.</t>
        </is>
      </c>
    </row>
    <row r="6">
      <c r="A6" s="5" t="inlineStr">
        <is>
          <t>LEG-02</t>
        </is>
      </c>
      <c r="B6" s="5" t="inlineStr">
        <is>
          <t>UAE Federal Decree-Law No. 38 of 2021 (Copyright and Neighbouring Rights)</t>
        </is>
      </c>
      <c r="C6" s="5" t="inlineStr">
        <is>
          <t>UAE</t>
        </is>
      </c>
      <c r="D6" s="5" t="inlineStr">
        <is>
          <t>Artwork, scripts and generated outputs</t>
        </is>
      </c>
      <c r="E6" s="5" t="inlineStr">
        <is>
          <t>Law / regulation</t>
        </is>
      </c>
      <c r="F6" s="5" t="inlineStr">
        <is>
          <t>[Legal Counsel]</t>
        </is>
      </c>
      <c r="G6" s="5" t="inlineStr">
        <is>
          <t>Met</t>
        </is>
      </c>
      <c r="H6" s="11" t="n">
        <v>46266</v>
      </c>
      <c r="I6" s="5">
        <f>IF(H6="","",TEXT(H6+365,"yyyy-mm-dd"))</f>
        <v/>
      </c>
      <c r="J6" s="5" t="inlineStr">
        <is>
          <t>Artist Agreement grants licence; outputs policy in place.</t>
        </is>
      </c>
    </row>
    <row r="7">
      <c r="A7" s="5" t="inlineStr">
        <is>
          <t>LEG-03</t>
        </is>
      </c>
      <c r="B7" s="5" t="inlineStr">
        <is>
          <t>EU General Data Protection Regulation (GDPR) and UK GDPR</t>
        </is>
      </c>
      <c r="C7" s="5" t="inlineStr">
        <is>
          <t>EU / UK</t>
        </is>
      </c>
      <c r="D7" s="5" t="inlineStr">
        <is>
          <t>EU/UK customers, artists and remote staff</t>
        </is>
      </c>
      <c r="E7" s="5" t="inlineStr">
        <is>
          <t>Law / regulation</t>
        </is>
      </c>
      <c r="F7" s="5" t="inlineStr">
        <is>
          <t>[Privacy and Legal Lead]</t>
        </is>
      </c>
      <c r="G7" s="5" t="inlineStr">
        <is>
          <t>Met</t>
        </is>
      </c>
      <c r="H7" s="11" t="n">
        <v>46266</v>
      </c>
      <c r="I7" s="5">
        <f>IF(H7="","",TEXT(H7+365,"yyyy-mm-dd"))</f>
        <v/>
      </c>
      <c r="J7" s="5" t="inlineStr">
        <is>
          <t>DPAs, records of processing, EU representative appointed.</t>
        </is>
      </c>
    </row>
    <row r="8">
      <c r="A8" s="5" t="inlineStr">
        <is>
          <t>LEG-04</t>
        </is>
      </c>
      <c r="B8" s="5" t="inlineStr">
        <is>
          <t>EU Artificial Intelligence Act (Regulation (EU) 2024/1689)</t>
        </is>
      </c>
      <c r="C8" s="5" t="inlineStr">
        <is>
          <t>EU</t>
        </is>
      </c>
      <c r="D8" s="5" t="inlineStr">
        <is>
          <t>Transparency duties for AI-generated content and deepfakes (Art. 50); AI literacy (Art. 4); general-purpose model downstream obligations</t>
        </is>
      </c>
      <c r="E8" s="5" t="inlineStr">
        <is>
          <t>Law / regulation</t>
        </is>
      </c>
      <c r="F8" s="5" t="inlineStr">
        <is>
          <t>[Head of AI]</t>
        </is>
      </c>
      <c r="G8" s="5" t="inlineStr">
        <is>
          <t>In progress</t>
        </is>
      </c>
      <c r="H8" s="11" t="n">
        <v>46266</v>
      </c>
      <c r="I8" s="5">
        <f>IF(H8="","",TEXT(H8+365,"yyyy-mm-dd"))</f>
        <v/>
      </c>
      <c r="J8" s="5" t="inlineStr">
        <is>
          <t>C2PA credentials and visible label live; AI literacy training in IMS-REG-004; GPAI downstream info requested from suppliers.</t>
        </is>
      </c>
    </row>
    <row r="9">
      <c r="A9" s="5" t="inlineStr">
        <is>
          <t>LEG-05</t>
        </is>
      </c>
      <c r="B9" s="5" t="inlineStr">
        <is>
          <t>EU Copyright (DSM) Directive 2019/790, Art. 4 text-and-data-mining opt-out</t>
        </is>
      </c>
      <c r="C9" s="5" t="inlineStr">
        <is>
          <t>EU</t>
        </is>
      </c>
      <c r="D9" s="5" t="inlineStr">
        <is>
          <t>Training-data sourcing and artist opt-outs</t>
        </is>
      </c>
      <c r="E9" s="5" t="inlineStr">
        <is>
          <t>Law / regulation</t>
        </is>
      </c>
      <c r="F9" s="5" t="inlineStr">
        <is>
          <t>[Data and ML Lead]</t>
        </is>
      </c>
      <c r="G9" s="5" t="inlineStr">
        <is>
          <t>Met</t>
        </is>
      </c>
      <c r="H9" s="11" t="n">
        <v>46266</v>
      </c>
      <c r="I9" s="5">
        <f>IF(H9="","",TEXT(H9+365,"yyyy-mm-dd"))</f>
        <v/>
      </c>
      <c r="J9" s="5" t="inlineStr">
        <is>
          <t>Fine-tuning only on licensed or consented work; opt-out register.</t>
        </is>
      </c>
    </row>
    <row r="10">
      <c r="A10" s="5" t="inlineStr">
        <is>
          <t>LEG-06</t>
        </is>
      </c>
      <c r="B10" s="5" t="inlineStr">
        <is>
          <t>EU Platform-to-Business Regulation (EU) 2019/1150</t>
        </is>
      </c>
      <c r="C10" s="5" t="inlineStr">
        <is>
          <t>EU</t>
        </is>
      </c>
      <c r="D10" s="5" t="inlineStr">
        <is>
          <t>Transparency of ranking parameters on the Commons marketplace (ArtistMatch)</t>
        </is>
      </c>
      <c r="E10" s="5" t="inlineStr">
        <is>
          <t>Law / regulation</t>
        </is>
      </c>
      <c r="F10" s="5" t="inlineStr">
        <is>
          <t>[Head of AI]</t>
        </is>
      </c>
      <c r="G10" s="5" t="inlineStr">
        <is>
          <t>Partial</t>
        </is>
      </c>
      <c r="H10" s="11" t="n">
        <v>46266</v>
      </c>
      <c r="I10" s="5">
        <f>IF(H10="","",TEXT(H10+365,"yyyy-mm-dd"))</f>
        <v/>
      </c>
      <c r="J10" s="5" t="inlineStr">
        <is>
          <t>Public 'How ArtistMatch works' page lists the main ranking parameters; artist-facing explanation in the Commons help centre.</t>
        </is>
      </c>
    </row>
    <row r="11">
      <c r="A11" s="5" t="inlineStr">
        <is>
          <t>LEG-07</t>
        </is>
      </c>
      <c r="B11" s="5" t="inlineStr">
        <is>
          <t>Consumer protection and advertising rules in target markets</t>
        </is>
      </c>
      <c r="C11" s="5" t="inlineStr">
        <is>
          <t>All markets</t>
        </is>
      </c>
      <c r="D11" s="5" t="inlineStr">
        <is>
          <t>Labelling of AI-generated content used in ads</t>
        </is>
      </c>
      <c r="E11" s="5" t="inlineStr">
        <is>
          <t>Law / regulation</t>
        </is>
      </c>
      <c r="F11" s="5" t="inlineStr">
        <is>
          <t>[Legal Counsel]</t>
        </is>
      </c>
      <c r="G11" s="5" t="inlineStr">
        <is>
          <t>Partial</t>
        </is>
      </c>
      <c r="H11" s="11" t="n">
        <v>46266</v>
      </c>
      <c r="I11" s="5">
        <f>IF(H11="","",TEXT(H11+365,"yyyy-mm-dd"))</f>
        <v/>
      </c>
      <c r="J11" s="5" t="inlineStr">
        <is>
          <t>Ad-use guidance for customers drafted.</t>
        </is>
      </c>
    </row>
    <row r="12">
      <c r="A12" s="5" t="inlineStr">
        <is>
          <t>LEG-08</t>
        </is>
      </c>
      <c r="B12" s="5" t="inlineStr">
        <is>
          <t>Customer contracts, data processing agreements and the Artist Agreement</t>
        </is>
      </c>
      <c r="C12" s="5" t="inlineStr">
        <is>
          <t>All</t>
        </is>
      </c>
      <c r="D12" s="5" t="inlineStr">
        <is>
          <t>Security, AI-use, confidentiality, IP and breach-notification terms</t>
        </is>
      </c>
      <c r="E12" s="5" t="inlineStr">
        <is>
          <t>Contract</t>
        </is>
      </c>
      <c r="F12" s="5" t="inlineStr">
        <is>
          <t>[Privacy and Legal Lead]</t>
        </is>
      </c>
      <c r="G12" s="5" t="inlineStr">
        <is>
          <t>Met</t>
        </is>
      </c>
      <c r="H12" s="11" t="n">
        <v>46266</v>
      </c>
      <c r="I12" s="5">
        <f>IF(H12="","",TEXT(H12+365,"yyyy-mm-dd"))</f>
        <v/>
      </c>
      <c r="J12" s="5" t="inlineStr">
        <is>
          <t>Security and AI clauses tracked in contract tool.</t>
        </is>
      </c>
    </row>
    <row r="13">
      <c r="A13" s="5" t="inlineStr">
        <is>
          <t>LEG-08</t>
        </is>
      </c>
      <c r="B13" s="5" t="inlineStr">
        <is>
          <t>PCI DSS (through our payment processor)</t>
        </is>
      </c>
      <c r="C13" s="5" t="inlineStr">
        <is>
          <t>Global</t>
        </is>
      </c>
      <c r="D13" s="5" t="inlineStr">
        <is>
          <t>Card payments — we never store card data</t>
        </is>
      </c>
      <c r="E13" s="5" t="inlineStr">
        <is>
          <t>Contract</t>
        </is>
      </c>
      <c r="F13" s="5" t="inlineStr">
        <is>
          <t>[CTO]</t>
        </is>
      </c>
      <c r="G13" s="5" t="inlineStr">
        <is>
          <t>Met</t>
        </is>
      </c>
      <c r="H13" s="11" t="n">
        <v>46266</v>
      </c>
      <c r="I13" s="5">
        <f>IF(H13="","",TEXT(H13+365,"yyyy-mm-dd"))</f>
        <v/>
      </c>
      <c r="J13" s="5" t="inlineStr">
        <is>
          <t>Processor's attestation on file; SAQ A.</t>
        </is>
      </c>
    </row>
    <row r="14">
      <c r="A14" s="5" t="inlineStr">
        <is>
          <t>LEG-09</t>
        </is>
      </c>
      <c r="B14" s="5" t="inlineStr">
        <is>
          <t>UAE Federal Decree-Law No. 34 of 2021 (Combating Rumours and Cybercrimes)</t>
        </is>
      </c>
      <c r="C14" s="5" t="inlineStr">
        <is>
          <t>UAE</t>
        </is>
      </c>
      <c r="D14" s="5" t="inlineStr">
        <is>
          <t>Misuse of the platform for fabricated content or impersonation</t>
        </is>
      </c>
      <c r="E14" s="5" t="inlineStr">
        <is>
          <t>Law / regulation</t>
        </is>
      </c>
      <c r="F14" s="5" t="inlineStr">
        <is>
          <t>[Legal Counsel]</t>
        </is>
      </c>
      <c r="G14" s="5" t="inlineStr">
        <is>
          <t>Met</t>
        </is>
      </c>
      <c r="H14" s="11" t="n">
        <v>46266</v>
      </c>
      <c r="I14" s="5">
        <f>IF(H14="","",TEXT(H14+365,"yyyy-mm-dd"))</f>
        <v/>
      </c>
      <c r="J14" s="5" t="inlineStr">
        <is>
          <t>Prohibited-use terms and moderation; police contact in IMS-GOV-001.</t>
        </is>
      </c>
    </row>
    <row r="15">
      <c r="A15" s="5" t="inlineStr">
        <is>
          <t>LEG-10</t>
        </is>
      </c>
      <c r="B15" s="5" t="inlineStr">
        <is>
          <t>UK Online Safety Act 2023 (assess applicability)</t>
        </is>
      </c>
      <c r="C15" s="5" t="inlineStr">
        <is>
          <t>UK</t>
        </is>
      </c>
      <c r="D15" s="5" t="inlineStr">
        <is>
          <t>User-generated imagery on Commons</t>
        </is>
      </c>
      <c r="E15" s="5" t="inlineStr">
        <is>
          <t>Law / regulation</t>
        </is>
      </c>
      <c r="F15" s="5" t="inlineStr">
        <is>
          <t>[Privacy and Legal Lead]</t>
        </is>
      </c>
      <c r="G15" s="5" t="inlineStr">
        <is>
          <t>In progress</t>
        </is>
      </c>
      <c r="H15" s="11" t="n">
        <v>46266</v>
      </c>
      <c r="I15" s="5">
        <f>IF(H15="","",TEXT(H15+365,"yyyy-mm-dd"))</f>
        <v/>
      </c>
      <c r="J15" s="5" t="inlineStr">
        <is>
          <t>Legal opinion requested on whether Commons is in scope.</t>
        </is>
      </c>
    </row>
    <row r="16">
      <c r="A16" s="5" t="inlineStr">
        <is>
          <t>LEG-11</t>
        </is>
      </c>
      <c r="B16" s="5" t="inlineStr">
        <is>
          <t>Employment and data protection law in Egypt, Jordan and Portugal</t>
        </is>
      </c>
      <c r="C16" s="5" t="inlineStr">
        <is>
          <t>EG / JO / PT</t>
        </is>
      </c>
      <c r="D16" s="5" t="inlineStr">
        <is>
          <t>Remote staff records and monitoring</t>
        </is>
      </c>
      <c r="E16" s="5" t="inlineStr">
        <is>
          <t>Law / regulation</t>
        </is>
      </c>
      <c r="F16" s="5" t="inlineStr">
        <is>
          <t>[People and Operations Lead]</t>
        </is>
      </c>
      <c r="G16" s="5" t="inlineStr">
        <is>
          <t>Partial</t>
        </is>
      </c>
      <c r="H16" s="11" t="n">
        <v>46266</v>
      </c>
      <c r="I16" s="5">
        <f>IF(H16="","",TEXT(H16+365,"yyyy-mm-dd"))</f>
        <v/>
      </c>
      <c r="J16" s="5" t="inlineStr">
        <is>
          <t>Employer-of-record contracts reviewed; Egypt PDPL executive regulations awaited.</t>
        </is>
      </c>
    </row>
    <row r="17">
      <c r="A17" s="5" t="inlineStr">
        <is>
          <t>LEG-12</t>
        </is>
      </c>
      <c r="B17" s="10" t="inlineStr">
        <is>
          <t>[law, regulation or contract]</t>
        </is>
      </c>
      <c r="C17" s="10" t="inlineStr">
        <is>
          <t>[jurisdiction]</t>
        </is>
      </c>
      <c r="D17" s="10" t="inlineStr">
        <is>
          <t>[what it applies to]</t>
        </is>
      </c>
      <c r="E17" s="10" t="inlineStr">
        <is>
          <t>[type]</t>
        </is>
      </c>
      <c r="F17" s="10" t="inlineStr">
        <is>
          <t>[owner]</t>
        </is>
      </c>
      <c r="G17" s="10" t="inlineStr">
        <is>
          <t>[status]</t>
        </is>
      </c>
      <c r="H17" s="5" t="inlineStr"/>
      <c r="I17" s="5">
        <f>IF(H17="","",TEXT(H17+365,"yyyy-mm-dd"))</f>
        <v/>
      </c>
      <c r="J17" s="10" t="inlineStr">
        <is>
          <t>[evidence]</t>
        </is>
      </c>
    </row>
    <row r="18">
      <c r="A18" s="5" t="n"/>
      <c r="B18" s="5" t="n"/>
      <c r="C18" s="5" t="n"/>
      <c r="D18" s="5" t="n"/>
      <c r="E18" s="5" t="n"/>
      <c r="F18" s="5" t="n"/>
      <c r="G18" s="5" t="n"/>
      <c r="H18" s="5" t="n"/>
      <c r="I18" s="5">
        <f>IF(H18="","",TEXT(H18+365,"yyyy-mm-dd"))</f>
        <v/>
      </c>
      <c r="J18" s="5" t="n"/>
    </row>
    <row r="19">
      <c r="A19" s="5" t="n"/>
      <c r="B19" s="5" t="n"/>
      <c r="C19" s="5" t="n"/>
      <c r="D19" s="5" t="n"/>
      <c r="E19" s="5" t="n"/>
      <c r="F19" s="5" t="n"/>
      <c r="G19" s="5" t="n"/>
      <c r="H19" s="5" t="n"/>
      <c r="I19" s="5">
        <f>IF(H19="","",TEXT(H19+365,"yyyy-mm-dd"))</f>
        <v/>
      </c>
      <c r="J19" s="5" t="n"/>
    </row>
    <row r="20">
      <c r="A20" s="5" t="n"/>
      <c r="B20" s="5" t="n"/>
      <c r="C20" s="5" t="n"/>
      <c r="D20" s="5" t="n"/>
      <c r="E20" s="5" t="n"/>
      <c r="F20" s="5" t="n"/>
      <c r="G20" s="5" t="n"/>
      <c r="H20" s="5" t="n"/>
      <c r="I20" s="5">
        <f>IF(H20="","",TEXT(H20+365,"yyyy-mm-dd"))</f>
        <v/>
      </c>
      <c r="J20" s="5" t="n"/>
    </row>
    <row r="21">
      <c r="A21" s="5" t="n"/>
      <c r="B21" s="5" t="n"/>
      <c r="C21" s="5" t="n"/>
      <c r="D21" s="5" t="n"/>
      <c r="E21" s="5" t="n"/>
      <c r="F21" s="5" t="n"/>
      <c r="G21" s="5" t="n"/>
      <c r="H21" s="5" t="n"/>
      <c r="I21" s="5">
        <f>IF(H21="","",TEXT(H21+365,"yyyy-mm-dd"))</f>
        <v/>
      </c>
      <c r="J21" s="5" t="n"/>
    </row>
    <row r="22">
      <c r="A22" s="5" t="n"/>
      <c r="B22" s="5" t="n"/>
      <c r="C22" s="5" t="n"/>
      <c r="D22" s="5" t="n"/>
      <c r="E22" s="5" t="n"/>
      <c r="F22" s="5" t="n"/>
      <c r="G22" s="5" t="n"/>
      <c r="H22" s="5" t="n"/>
      <c r="I22" s="5">
        <f>IF(H22="","",TEXT(H22+365,"yyyy-mm-dd"))</f>
        <v/>
      </c>
      <c r="J22" s="5" t="n"/>
    </row>
    <row r="23">
      <c r="A23" s="5" t="n"/>
      <c r="B23" s="5" t="n"/>
      <c r="C23" s="5" t="n"/>
      <c r="D23" s="5" t="n"/>
      <c r="E23" s="5" t="n"/>
      <c r="F23" s="5" t="n"/>
      <c r="G23" s="5" t="n"/>
      <c r="H23" s="5" t="n"/>
      <c r="I23" s="5">
        <f>IF(H23="","",TEXT(H23+365,"yyyy-mm-dd"))</f>
        <v/>
      </c>
      <c r="J23" s="5" t="n"/>
    </row>
    <row r="24">
      <c r="A24" s="5" t="n"/>
      <c r="B24" s="5" t="n"/>
      <c r="C24" s="5" t="n"/>
      <c r="D24" s="5" t="n"/>
      <c r="E24" s="5" t="n"/>
      <c r="F24" s="5" t="n"/>
      <c r="G24" s="5" t="n"/>
      <c r="H24" s="5" t="n"/>
      <c r="I24" s="5">
        <f>IF(H24="","",TEXT(H24+365,"yyyy-mm-dd"))</f>
        <v/>
      </c>
      <c r="J24" s="5" t="n"/>
    </row>
    <row r="25">
      <c r="A25" s="5" t="n"/>
      <c r="B25" s="5" t="n"/>
      <c r="C25" s="5" t="n"/>
      <c r="D25" s="5" t="n"/>
      <c r="E25" s="5" t="n"/>
      <c r="F25" s="5" t="n"/>
      <c r="G25" s="5" t="n"/>
      <c r="H25" s="5" t="n"/>
      <c r="I25" s="5">
        <f>IF(H25="","",TEXT(H25+365,"yyyy-mm-dd"))</f>
        <v/>
      </c>
      <c r="J25" s="5" t="n"/>
    </row>
    <row r="26">
      <c r="A26" s="5" t="n"/>
      <c r="B26" s="5" t="n"/>
      <c r="C26" s="5" t="n"/>
      <c r="D26" s="5" t="n"/>
      <c r="E26" s="5" t="n"/>
      <c r="F26" s="5" t="n"/>
      <c r="G26" s="5" t="n"/>
      <c r="H26" s="5" t="n"/>
      <c r="I26" s="5">
        <f>IF(H26="","",TEXT(H26+365,"yyyy-mm-dd"))</f>
        <v/>
      </c>
      <c r="J26" s="5" t="n"/>
    </row>
    <row r="27">
      <c r="A27" s="5" t="n"/>
      <c r="B27" s="5" t="n"/>
      <c r="C27" s="5" t="n"/>
      <c r="D27" s="5" t="n"/>
      <c r="E27" s="5" t="n"/>
      <c r="F27" s="5" t="n"/>
      <c r="G27" s="5" t="n"/>
      <c r="H27" s="5" t="n"/>
      <c r="I27" s="5">
        <f>IF(H27="","",TEXT(H27+365,"yyyy-mm-dd"))</f>
        <v/>
      </c>
      <c r="J27" s="5" t="n"/>
    </row>
    <row r="28">
      <c r="A28" s="5" t="n"/>
      <c r="B28" s="5" t="n"/>
      <c r="C28" s="5" t="n"/>
      <c r="D28" s="5" t="n"/>
      <c r="E28" s="5" t="n"/>
      <c r="F28" s="5" t="n"/>
      <c r="G28" s="5" t="n"/>
      <c r="H28" s="5" t="n"/>
      <c r="I28" s="5">
        <f>IF(H28="","",TEXT(H28+365,"yyyy-mm-dd"))</f>
        <v/>
      </c>
      <c r="J28" s="5" t="n"/>
    </row>
    <row r="29">
      <c r="A29" s="5" t="n"/>
      <c r="B29" s="5" t="n"/>
      <c r="C29" s="5" t="n"/>
      <c r="D29" s="5" t="n"/>
      <c r="E29" s="5" t="n"/>
      <c r="F29" s="5" t="n"/>
      <c r="G29" s="5" t="n"/>
      <c r="H29" s="5" t="n"/>
      <c r="I29" s="5">
        <f>IF(H29="","",TEXT(H29+365,"yyyy-mm-dd"))</f>
        <v/>
      </c>
      <c r="J29" s="5" t="n"/>
    </row>
    <row r="30">
      <c r="A30" s="5" t="n"/>
      <c r="B30" s="5" t="n"/>
      <c r="C30" s="5" t="n"/>
      <c r="D30" s="5" t="n"/>
      <c r="E30" s="5" t="n"/>
      <c r="F30" s="5" t="n"/>
      <c r="G30" s="5" t="n"/>
      <c r="H30" s="5" t="n"/>
      <c r="I30" s="5">
        <f>IF(H30="","",TEXT(H30+365,"yyyy-mm-dd"))</f>
        <v/>
      </c>
      <c r="J30" s="5" t="n"/>
    </row>
    <row r="31">
      <c r="A31" s="5" t="n"/>
      <c r="B31" s="5" t="n"/>
      <c r="C31" s="5" t="n"/>
      <c r="D31" s="5" t="n"/>
      <c r="E31" s="5" t="n"/>
      <c r="F31" s="5" t="n"/>
      <c r="G31" s="5" t="n"/>
      <c r="H31" s="5" t="n"/>
      <c r="I31" s="5">
        <f>IF(H31="","",TEXT(H31+365,"yyyy-mm-dd"))</f>
        <v/>
      </c>
      <c r="J31" s="5" t="n"/>
    </row>
    <row r="32">
      <c r="A32" s="5" t="n"/>
      <c r="B32" s="5" t="n"/>
      <c r="C32" s="5" t="n"/>
      <c r="D32" s="5" t="n"/>
      <c r="E32" s="5" t="n"/>
      <c r="F32" s="5" t="n"/>
      <c r="G32" s="5" t="n"/>
      <c r="H32" s="5" t="n"/>
      <c r="I32" s="5">
        <f>IF(H32="","",TEXT(H32+365,"yyyy-mm-dd"))</f>
        <v/>
      </c>
      <c r="J32" s="5" t="n"/>
    </row>
    <row r="33">
      <c r="A33" s="5" t="n"/>
      <c r="B33" s="5" t="n"/>
      <c r="C33" s="5" t="n"/>
      <c r="D33" s="5" t="n"/>
      <c r="E33" s="5" t="n"/>
      <c r="F33" s="5" t="n"/>
      <c r="G33" s="5" t="n"/>
      <c r="H33" s="5" t="n"/>
      <c r="I33" s="5">
        <f>IF(H33="","",TEXT(H33+365,"yyyy-mm-dd"))</f>
        <v/>
      </c>
      <c r="J33" s="5" t="n"/>
    </row>
    <row r="34">
      <c r="A34" s="5" t="n"/>
      <c r="B34" s="5" t="n"/>
      <c r="C34" s="5" t="n"/>
      <c r="D34" s="5" t="n"/>
      <c r="E34" s="5" t="n"/>
      <c r="F34" s="5" t="n"/>
      <c r="G34" s="5" t="n"/>
      <c r="H34" s="5" t="n"/>
      <c r="I34" s="5">
        <f>IF(H34="","",TEXT(H34+365,"yyyy-mm-dd"))</f>
        <v/>
      </c>
      <c r="J34" s="5" t="n"/>
    </row>
    <row r="35">
      <c r="A35" s="5" t="n"/>
      <c r="B35" s="5" t="n"/>
      <c r="C35" s="5" t="n"/>
      <c r="D35" s="5" t="n"/>
      <c r="E35" s="5" t="n"/>
      <c r="F35" s="5" t="n"/>
      <c r="G35" s="5" t="n"/>
      <c r="H35" s="5" t="n"/>
      <c r="I35" s="5">
        <f>IF(H35="","",TEXT(H35+365,"yyyy-mm-dd"))</f>
        <v/>
      </c>
      <c r="J35" s="5" t="n"/>
    </row>
    <row r="36">
      <c r="A36" s="5" t="n"/>
      <c r="B36" s="5" t="n"/>
      <c r="C36" s="5" t="n"/>
      <c r="D36" s="5" t="n"/>
      <c r="E36" s="5" t="n"/>
      <c r="F36" s="5" t="n"/>
      <c r="G36" s="5" t="n"/>
      <c r="H36" s="5" t="n"/>
      <c r="I36" s="5">
        <f>IF(H36="","",TEXT(H36+365,"yyyy-mm-dd"))</f>
        <v/>
      </c>
      <c r="J36" s="5" t="n"/>
    </row>
    <row r="37">
      <c r="A37" s="5" t="n"/>
      <c r="B37" s="5" t="n"/>
      <c r="C37" s="5" t="n"/>
      <c r="D37" s="5" t="n"/>
      <c r="E37" s="5" t="n"/>
      <c r="F37" s="5" t="n"/>
      <c r="G37" s="5" t="n"/>
      <c r="H37" s="5" t="n"/>
      <c r="I37" s="5">
        <f>IF(H37="","",TEXT(H37+365,"yyyy-mm-dd"))</f>
        <v/>
      </c>
      <c r="J37" s="5" t="n"/>
    </row>
    <row r="38">
      <c r="A38" s="5" t="n"/>
      <c r="B38" s="5" t="n"/>
      <c r="C38" s="5" t="n"/>
      <c r="D38" s="5" t="n"/>
      <c r="E38" s="5" t="n"/>
      <c r="F38" s="5" t="n"/>
      <c r="G38" s="5" t="n"/>
      <c r="H38" s="5" t="n"/>
      <c r="I38" s="5">
        <f>IF(H38="","",TEXT(H38+365,"yyyy-mm-dd"))</f>
        <v/>
      </c>
      <c r="J38" s="5" t="n"/>
    </row>
    <row r="39">
      <c r="A39" s="5" t="n"/>
      <c r="B39" s="5" t="n"/>
      <c r="C39" s="5" t="n"/>
      <c r="D39" s="5" t="n"/>
      <c r="E39" s="5" t="n"/>
      <c r="F39" s="5" t="n"/>
      <c r="G39" s="5" t="n"/>
      <c r="H39" s="5" t="n"/>
      <c r="I39" s="5">
        <f>IF(H39="","",TEXT(H39+365,"yyyy-mm-dd"))</f>
        <v/>
      </c>
      <c r="J39" s="5" t="n"/>
    </row>
    <row r="40">
      <c r="A40" s="5" t="n"/>
      <c r="B40" s="5" t="n"/>
      <c r="C40" s="5" t="n"/>
      <c r="D40" s="5" t="n"/>
      <c r="E40" s="5" t="n"/>
      <c r="F40" s="5" t="n"/>
      <c r="G40" s="5" t="n"/>
      <c r="H40" s="5" t="n"/>
      <c r="I40" s="5">
        <f>IF(H40="","",TEXT(H40+365,"yyyy-mm-dd"))</f>
        <v/>
      </c>
      <c r="J40" s="5" t="n"/>
    </row>
    <row r="41">
      <c r="A41" s="5" t="n"/>
      <c r="B41" s="5" t="n"/>
      <c r="C41" s="5" t="n"/>
      <c r="D41" s="5" t="n"/>
      <c r="E41" s="5" t="n"/>
      <c r="F41" s="5" t="n"/>
      <c r="G41" s="5" t="n"/>
      <c r="H41" s="5" t="n"/>
      <c r="I41" s="5">
        <f>IF(H41="","",TEXT(H41+365,"yyyy-mm-dd"))</f>
        <v/>
      </c>
      <c r="J41" s="5" t="n"/>
    </row>
    <row r="42">
      <c r="A42" s="5" t="n"/>
      <c r="B42" s="5" t="n"/>
      <c r="C42" s="5" t="n"/>
      <c r="D42" s="5" t="n"/>
      <c r="E42" s="5" t="n"/>
      <c r="F42" s="5" t="n"/>
      <c r="G42" s="5" t="n"/>
      <c r="H42" s="5" t="n"/>
      <c r="I42" s="5">
        <f>IF(H42="","",TEXT(H42+365,"yyyy-mm-dd"))</f>
        <v/>
      </c>
      <c r="J42" s="5" t="n"/>
    </row>
    <row r="43">
      <c r="A43" s="5" t="n"/>
      <c r="B43" s="5" t="n"/>
      <c r="C43" s="5" t="n"/>
      <c r="D43" s="5" t="n"/>
      <c r="E43" s="5" t="n"/>
      <c r="F43" s="5" t="n"/>
      <c r="G43" s="5" t="n"/>
      <c r="H43" s="5" t="n"/>
      <c r="I43" s="5">
        <f>IF(H43="","",TEXT(H43+365,"yyyy-mm-dd"))</f>
        <v/>
      </c>
      <c r="J43" s="5" t="n"/>
    </row>
    <row r="44">
      <c r="A44" s="5" t="n"/>
      <c r="B44" s="5" t="n"/>
      <c r="C44" s="5" t="n"/>
      <c r="D44" s="5" t="n"/>
      <c r="E44" s="5" t="n"/>
      <c r="F44" s="5" t="n"/>
      <c r="G44" s="5" t="n"/>
      <c r="H44" s="5" t="n"/>
      <c r="I44" s="5">
        <f>IF(H44="","",TEXT(H44+365,"yyyy-mm-dd"))</f>
        <v/>
      </c>
      <c r="J44" s="5" t="n"/>
    </row>
    <row r="45">
      <c r="A45" s="5" t="n"/>
      <c r="B45" s="5" t="n"/>
      <c r="C45" s="5" t="n"/>
      <c r="D45" s="5" t="n"/>
      <c r="E45" s="5" t="n"/>
      <c r="F45" s="5" t="n"/>
      <c r="G45" s="5" t="n"/>
      <c r="H45" s="5" t="n"/>
      <c r="I45" s="5">
        <f>IF(H45="","",TEXT(H45+365,"yyyy-mm-dd"))</f>
        <v/>
      </c>
      <c r="J45" s="5" t="n"/>
    </row>
    <row r="46">
      <c r="A46" s="5" t="n"/>
      <c r="B46" s="5" t="n"/>
      <c r="C46" s="5" t="n"/>
      <c r="D46" s="5" t="n"/>
      <c r="E46" s="5" t="n"/>
      <c r="F46" s="5" t="n"/>
      <c r="G46" s="5" t="n"/>
      <c r="H46" s="5" t="n"/>
      <c r="I46" s="5">
        <f>IF(H46="","",TEXT(H46+365,"yyyy-mm-dd"))</f>
        <v/>
      </c>
      <c r="J46" s="5" t="n"/>
    </row>
    <row r="47">
      <c r="A47" s="5" t="n"/>
      <c r="B47" s="5" t="n"/>
      <c r="C47" s="5" t="n"/>
      <c r="D47" s="5" t="n"/>
      <c r="E47" s="5" t="n"/>
      <c r="F47" s="5" t="n"/>
      <c r="G47" s="5" t="n"/>
      <c r="H47" s="5" t="n"/>
      <c r="I47" s="5">
        <f>IF(H47="","",TEXT(H47+365,"yyyy-mm-dd"))</f>
        <v/>
      </c>
      <c r="J47" s="5" t="n"/>
    </row>
  </sheetData>
  <autoFilter ref="A4:J47"/>
  <mergeCells count="1">
    <mergeCell ref="A2:J2"/>
  </mergeCells>
  <conditionalFormatting sqref="G5:G47">
    <cfRule type="cellIs" priority="1" operator="equal" dxfId="0">
      <formula>"Implemented"</formula>
    </cfRule>
    <cfRule type="cellIs" priority="2" operator="equal" dxfId="0">
      <formula>"Done"</formula>
    </cfRule>
    <cfRule type="cellIs" priority="3" operator="equal" dxfId="0">
      <formula>"Closed"</formula>
    </cfRule>
    <cfRule type="cellIs" priority="4" operator="equal" dxfId="0">
      <formula>"Yes"</formula>
    </cfRule>
    <cfRule type="cellIs" priority="5" operator="equal" dxfId="0">
      <formula>"Met"</formula>
    </cfRule>
    <cfRule type="cellIs" priority="6" operator="equal" dxfId="1">
      <formula>"Partially implemented"</formula>
    </cfRule>
    <cfRule type="cellIs" priority="7" operator="equal" dxfId="1">
      <formula>"Partial"</formula>
    </cfRule>
    <cfRule type="cellIs" priority="8" operator="equal" dxfId="1">
      <formula>"Done late"</formula>
    </cfRule>
    <cfRule type="cellIs" priority="9" operator="equal" dxfId="1">
      <formula>"In progress"</formula>
    </cfRule>
    <cfRule type="cellIs" priority="10" operator="equal" dxfId="1">
      <formula>"Open"</formula>
    </cfRule>
    <cfRule type="cellIs" priority="11" operator="equal" dxfId="1">
      <formula>"On track"</formula>
    </cfRule>
    <cfRule type="cellIs" priority="12" operator="equal" dxfId="4">
      <formula>"Planned"</formula>
    </cfRule>
    <cfRule type="cellIs" priority="13" operator="equal" dxfId="5">
      <formula>"Not started"</formula>
    </cfRule>
    <cfRule type="cellIs" priority="14" operator="equal" dxfId="2">
      <formula>"Not implemented"</formula>
    </cfRule>
    <cfRule type="cellIs" priority="15" operator="equal" dxfId="2">
      <formula>"No"</formula>
    </cfRule>
    <cfRule type="cellIs" priority="16" operator="equal" dxfId="2">
      <formula>"Overdue"</formula>
    </cfRule>
    <cfRule type="cellIs" priority="17" operator="equal" dxfId="2">
      <formula>"Not met"</formula>
    </cfRule>
    <cfRule type="cellIs" priority="18" operator="equal" dxfId="6">
      <formula>"Excluded"</formula>
    </cfRule>
  </conditionalFormatting>
  <dataValidations count="2">
    <dataValidation sqref="E5:E47" showDropDown="0" showInputMessage="0" showErrorMessage="0" allowBlank="1" errorTitle="Invalid value" error="Pick a value from the list." type="list">
      <formula1>"Law / regulation,Contract,Standard / scheme,Voluntary commitment"</formula1>
    </dataValidation>
    <dataValidation sqref="G5:G47" showDropDown="0" showInputMessage="0" showErrorMessage="0" allowBlank="1" errorTitle="Invalid value" error="Pick a value from the list." type="list">
      <formula1>"Met,Partial,In progress,Not met"</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4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45" customWidth="1" min="2" max="2"/>
    <col width="9" customWidth="1" min="3" max="3"/>
    <col width="48" customWidth="1" min="4" max="4"/>
    <col width="32" customWidth="1" min="5" max="5"/>
    <col width="36" customWidth="1" min="6" max="6"/>
  </cols>
  <sheetData>
    <row r="1">
      <c r="A1" s="8" t="inlineStr">
        <is>
          <t>Scope, boundaries, interfaces and dependencies</t>
        </is>
      </c>
    </row>
    <row r="2" ht="30" customHeight="1">
      <c r="A2" s="3" t="inlineStr">
        <is>
          <t>What is inside and outside the IMS and why. Interfaces and dependencies show where our responsibility meets someone else's, and the control we use at that boundary.</t>
        </is>
      </c>
    </row>
    <row r="4" ht="32" customHeight="1">
      <c r="A4" s="9" t="inlineStr">
        <is>
          <t>Category</t>
        </is>
      </c>
      <c r="B4" s="9" t="inlineStr">
        <is>
          <t>Item</t>
        </is>
      </c>
      <c r="C4" s="9" t="inlineStr">
        <is>
          <t>In / Out</t>
        </is>
      </c>
      <c r="D4" s="9" t="inlineStr">
        <is>
          <t>Justification</t>
        </is>
      </c>
      <c r="E4" s="9" t="inlineStr">
        <is>
          <t>Interface or dependency</t>
        </is>
      </c>
      <c r="F4" s="9" t="inlineStr">
        <is>
          <t>Control at the boundary</t>
        </is>
      </c>
    </row>
    <row r="5">
      <c r="A5" s="5" t="inlineStr">
        <is>
          <t>Organisation</t>
        </is>
      </c>
      <c r="B5" s="5" t="inlineStr">
        <is>
          <t>All staff and contractors of Quillfen Studio FZ-LLC</t>
        </is>
      </c>
      <c r="C5" s="5" t="inlineStr">
        <is>
          <t>In</t>
        </is>
      </c>
      <c r="D5" s="5" t="inlineStr">
        <is>
          <t>Everyone handles in-scope information.</t>
        </is>
      </c>
      <c r="E5" s="5" t="inlineStr">
        <is>
          <t>HR and contractor onboarding</t>
        </is>
      </c>
      <c r="F5" s="5" t="inlineStr">
        <is>
          <t>IMS-PRO-003</t>
        </is>
      </c>
    </row>
    <row r="6">
      <c r="A6" s="5" t="inlineStr">
        <is>
          <t>Location</t>
        </is>
      </c>
      <c r="B6" s="5" t="inlineStr">
        <is>
          <t>Dubai head office</t>
        </is>
      </c>
      <c r="C6" s="5" t="inlineStr">
        <is>
          <t>In</t>
        </is>
      </c>
      <c r="D6" s="5" t="inlineStr">
        <is>
          <t>Leadership, product and creative work happen here.</t>
        </is>
      </c>
      <c r="E6" s="5" t="inlineStr">
        <is>
          <t>Shared building services (landlord)</t>
        </is>
      </c>
      <c r="F6" s="5" t="inlineStr">
        <is>
          <t>Office access control; clear-desk rule</t>
        </is>
      </c>
    </row>
    <row r="7">
      <c r="A7" s="5" t="inlineStr">
        <is>
          <t>Location</t>
        </is>
      </c>
      <c r="B7" s="5" t="inlineStr">
        <is>
          <t>Remote work in Egypt, Jordan, Portugal and the UK</t>
        </is>
      </c>
      <c r="C7" s="5" t="inlineStr">
        <is>
          <t>In</t>
        </is>
      </c>
      <c r="D7" s="5" t="inlineStr">
        <is>
          <t>Most engineering is remote.</t>
        </is>
      </c>
      <c r="E7" s="5" t="inlineStr">
        <is>
          <t>Home networks; employer-of-record providers</t>
        </is>
      </c>
      <c r="F7" s="5" t="inlineStr">
        <is>
          <t>Managed laptops, SSO, MFA</t>
        </is>
      </c>
    </row>
    <row r="8">
      <c r="A8" s="5" t="inlineStr">
        <is>
          <t>Service</t>
        </is>
      </c>
      <c r="B8" s="5" t="inlineStr">
        <is>
          <t>Quillfen Canvas, Commons and API</t>
        </is>
      </c>
      <c r="C8" s="5" t="inlineStr">
        <is>
          <t>In</t>
        </is>
      </c>
      <c r="D8" s="5" t="inlineStr">
        <is>
          <t>Products customers buy and certificates must cover.</t>
        </is>
      </c>
      <c r="E8" s="5" t="inlineStr">
        <is>
          <t>Customers' own tools via API</t>
        </is>
      </c>
      <c r="F8" s="5" t="inlineStr">
        <is>
          <t>API terms; rate limits; IMS-POL-002</t>
        </is>
      </c>
    </row>
    <row r="9">
      <c r="A9" s="5" t="inlineStr">
        <is>
          <t>AI system</t>
        </is>
      </c>
      <c r="B9" s="5" t="inlineStr">
        <is>
          <t>StoryFrame, ScriptMate, ArtistMatch, SafeFrame, CodeAssist</t>
        </is>
      </c>
      <c r="C9" s="5" t="inlineStr">
        <is>
          <t>In</t>
        </is>
      </c>
      <c r="D9" s="5" t="inlineStr">
        <is>
          <t>All AI systems we provide, produce or use.</t>
        </is>
      </c>
      <c r="E9" s="5" t="inlineStr">
        <is>
          <t>Model and moderation suppliers</t>
        </is>
      </c>
      <c r="F9" s="5" t="inlineStr">
        <is>
          <t>IMS-POL-006; AI Release Review</t>
        </is>
      </c>
    </row>
    <row r="10">
      <c r="A10" s="5" t="inlineStr">
        <is>
          <t>Technology</t>
        </is>
      </c>
      <c r="B10" s="5" t="inlineStr">
        <is>
          <t>AWS accounts (eu-west-1, me-central-1), GitHub, identity provider, SaaS suite</t>
        </is>
      </c>
      <c r="C10" s="5" t="inlineStr">
        <is>
          <t>In</t>
        </is>
      </c>
      <c r="D10" s="5" t="inlineStr">
        <is>
          <t>Hold or process in-scope information.</t>
        </is>
      </c>
      <c r="E10" s="5" t="inlineStr">
        <is>
          <t>AWS shared-responsibility model</t>
        </is>
      </c>
      <c r="F10" s="5" t="inlineStr">
        <is>
          <t>Cloud supplier review</t>
        </is>
      </c>
    </row>
    <row r="11">
      <c r="A11" s="5" t="inlineStr">
        <is>
          <t>Technology</t>
        </is>
      </c>
      <c r="B11" s="5" t="inlineStr">
        <is>
          <t>Physical data centres of AWS and model suppliers</t>
        </is>
      </c>
      <c r="C11" s="5" t="inlineStr">
        <is>
          <t>Out</t>
        </is>
      </c>
      <c r="D11" s="5" t="inlineStr">
        <is>
          <t>Run by suppliers; covered by their certifications and our contracts.</t>
        </is>
      </c>
      <c r="E11" s="5" t="inlineStr">
        <is>
          <t>Supplier attestations</t>
        </is>
      </c>
      <c r="F11" s="5" t="inlineStr">
        <is>
          <t>Annual review of SOC 2 / ISO reports</t>
        </is>
      </c>
    </row>
    <row r="12">
      <c r="A12" s="5" t="inlineStr">
        <is>
          <t>AI system</t>
        </is>
      </c>
      <c r="B12" s="5" t="inlineStr">
        <is>
          <t>Internal operation of third-party foundation and image models</t>
        </is>
      </c>
      <c r="C12" s="5" t="inlineStr">
        <is>
          <t>Out</t>
        </is>
      </c>
      <c r="D12" s="5" t="inlineStr">
        <is>
          <t>We cannot control their training; we control how we select, contract, test and monitor them.</t>
        </is>
      </c>
      <c r="E12" s="5" t="inlineStr">
        <is>
          <t>Model API</t>
        </is>
      </c>
      <c r="F12" s="5" t="inlineStr">
        <is>
          <t>Supplier AI questionnaire; canary tests</t>
        </is>
      </c>
    </row>
    <row r="13">
      <c r="A13" s="5" t="inlineStr">
        <is>
          <t>Process</t>
        </is>
      </c>
      <c r="B13" s="5" t="inlineStr">
        <is>
          <t>Card payment processing</t>
        </is>
      </c>
      <c r="C13" s="5" t="inlineStr">
        <is>
          <t>Out</t>
        </is>
      </c>
      <c r="D13" s="5" t="inlineStr">
        <is>
          <t>Fully outsourced to a PCI DSS-certified processor.</t>
        </is>
      </c>
      <c r="E13" s="5" t="inlineStr">
        <is>
          <t>Checkout redirect</t>
        </is>
      </c>
      <c r="F13" s="5" t="inlineStr">
        <is>
          <t>Processor attestation (LEG-08)</t>
        </is>
      </c>
    </row>
    <row r="14">
      <c r="A14" s="5" t="inlineStr">
        <is>
          <t>Process</t>
        </is>
      </c>
      <c r="B14" s="5" t="inlineStr">
        <is>
          <t>Payroll for remote staff</t>
        </is>
      </c>
      <c r="C14" s="5" t="inlineStr">
        <is>
          <t>Out</t>
        </is>
      </c>
      <c r="D14" s="5" t="inlineStr">
        <is>
          <t>Handled by employer-of-record providers.</t>
        </is>
      </c>
      <c r="E14" s="5" t="inlineStr">
        <is>
          <t>HR data transfer</t>
        </is>
      </c>
      <c r="F14" s="5" t="inlineStr">
        <is>
          <t>DPA with provider</t>
        </is>
      </c>
    </row>
    <row r="15">
      <c r="A15" s="10" t="inlineStr">
        <is>
          <t>[category]</t>
        </is>
      </c>
      <c r="B15" s="10" t="inlineStr">
        <is>
          <t>[item]</t>
        </is>
      </c>
      <c r="C15" s="10" t="inlineStr">
        <is>
          <t>[In/Out]</t>
        </is>
      </c>
      <c r="D15" s="10" t="inlineStr">
        <is>
          <t>[justification]</t>
        </is>
      </c>
      <c r="E15" s="10" t="inlineStr">
        <is>
          <t>[interface]</t>
        </is>
      </c>
      <c r="F15" s="10" t="inlineStr">
        <is>
          <t>[control at boundary]</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row r="45">
      <c r="A45" s="5" t="n"/>
      <c r="B45" s="5" t="n"/>
      <c r="C45" s="5" t="n"/>
      <c r="D45" s="5" t="n"/>
      <c r="E45" s="5" t="n"/>
      <c r="F45" s="5" t="n"/>
    </row>
  </sheetData>
  <autoFilter ref="A4:F45"/>
  <mergeCells count="1">
    <mergeCell ref="A2:F2"/>
  </mergeCells>
  <dataValidations count="2">
    <dataValidation sqref="A5:A45" showDropDown="0" showInputMessage="0" showErrorMessage="0" allowBlank="1" errorTitle="Invalid value" error="Pick a value from the list." type="list">
      <formula1>"Organisation,Location,Service,Process,Technology,AI system,Data"</formula1>
    </dataValidation>
    <dataValidation sqref="C5:C45" showDropDown="0" showInputMessage="0" showErrorMessage="0" allowBlank="1" errorTitle="Invalid value" error="Pick a value from the list." type="list">
      <formula1>"In,Out"</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I4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36" customWidth="1" min="3" max="3"/>
    <col width="24" customWidth="1" min="4" max="4"/>
    <col width="30" customWidth="1" min="5" max="5"/>
    <col width="11" customWidth="1" min="6" max="6"/>
    <col width="50" customWidth="1" min="7" max="7"/>
    <col width="28" customWidth="1" min="8" max="8"/>
    <col width="16" customWidth="1" min="9" max="9"/>
  </cols>
  <sheetData>
    <row r="1">
      <c r="A1" s="8" t="inlineStr">
        <is>
          <t>Our role for each AI system</t>
        </is>
      </c>
    </row>
    <row r="2" ht="30" customHeight="1">
      <c r="A2" s="3" t="inlineStr">
        <is>
          <t>ISO/IEC 42001 asks us to determine our role for each AI system (terms from ISO/IEC 22989). The role shapes which controls matter most. Keep in line with IMS-REG-005 and IMS-MAN-001.</t>
        </is>
      </c>
    </row>
    <row r="4" ht="32" customHeight="1">
      <c r="A4" s="9" t="inlineStr">
        <is>
          <t>AI system ID</t>
        </is>
      </c>
      <c r="B4" s="9" t="inlineStr">
        <is>
          <t>Name</t>
        </is>
      </c>
      <c r="C4" s="9" t="inlineStr">
        <is>
          <t>Our role(s)</t>
        </is>
      </c>
      <c r="D4" s="9" t="inlineStr">
        <is>
          <t>Supplier / partner</t>
        </is>
      </c>
      <c r="E4" s="9" t="inlineStr">
        <is>
          <t>Users and affected people</t>
        </is>
      </c>
      <c r="F4" s="9" t="inlineStr">
        <is>
          <t>Criticality</t>
        </is>
      </c>
      <c r="G4" s="9" t="inlineStr">
        <is>
          <t>Main obligations that follow from the role</t>
        </is>
      </c>
      <c r="H4" s="9" t="inlineStr">
        <is>
          <t>Accountable owner</t>
        </is>
      </c>
      <c r="I4" s="9" t="inlineStr">
        <is>
          <t>Impact assessment</t>
        </is>
      </c>
    </row>
    <row r="5">
      <c r="A5" s="5" t="inlineStr">
        <is>
          <t>AI-SYS-001</t>
        </is>
      </c>
      <c r="B5" s="5" t="inlineStr">
        <is>
          <t>StoryFrame</t>
        </is>
      </c>
      <c r="C5" s="5" t="inlineStr">
        <is>
          <t>AI provider and AI producer (we fine-tune, integrate and operate it)</t>
        </is>
      </c>
      <c r="D5" s="5" t="inlineStr">
        <is>
          <t>Licensed third-party image model</t>
        </is>
      </c>
      <c r="E5" s="5" t="inlineStr">
        <is>
          <t>Canvas and API customers</t>
        </is>
      </c>
      <c r="F5" s="5" t="inlineStr">
        <is>
          <t>High</t>
        </is>
      </c>
      <c r="G5" s="5" t="inlineStr">
        <is>
          <t>Impact assessment; data provenance and consent; labelling and content credentials; release gate; output monitoring</t>
        </is>
      </c>
      <c r="H5" s="5" t="inlineStr">
        <is>
          <t>[Head of AI], Head of AI</t>
        </is>
      </c>
      <c r="I5" s="5" t="inlineStr">
        <is>
          <t>IMS-PRO-002</t>
        </is>
      </c>
    </row>
    <row r="6">
      <c r="A6" s="5" t="inlineStr">
        <is>
          <t>AI-SYS-002</t>
        </is>
      </c>
      <c r="B6" s="5" t="inlineStr">
        <is>
          <t>ScriptMate</t>
        </is>
      </c>
      <c r="C6" s="5" t="inlineStr">
        <is>
          <t>AI provider (we integrate and offer it); the model itself is a supplier's</t>
        </is>
      </c>
      <c r="D6" s="5" t="inlineStr">
        <is>
          <t>Foundation-model API supplier</t>
        </is>
      </c>
      <c r="E6" s="5" t="inlineStr">
        <is>
          <t>Canvas customers</t>
        </is>
      </c>
      <c r="F6" s="5" t="inlineStr">
        <is>
          <t>Medium</t>
        </is>
      </c>
      <c r="G6" s="5" t="inlineStr">
        <is>
          <t>Supplier controls (no training, zero retention); tenant isolation; transparency to users; hallucination warnings</t>
        </is>
      </c>
      <c r="H6" s="5" t="inlineStr">
        <is>
          <t>[Head of AI], Head of AI</t>
        </is>
      </c>
      <c r="I6" s="5" t="inlineStr">
        <is>
          <t>IMS-PRO-002</t>
        </is>
      </c>
    </row>
    <row r="7">
      <c r="A7" s="5" t="inlineStr">
        <is>
          <t>AI-SYS-003</t>
        </is>
      </c>
      <c r="B7" s="5" t="inlineStr">
        <is>
          <t>ArtistMatch</t>
        </is>
      </c>
      <c r="C7" s="5" t="inlineStr">
        <is>
          <t>AI provider and AI producer</t>
        </is>
      </c>
      <c r="D7" s="5" t="inlineStr">
        <is>
          <t>None (in-house)</t>
        </is>
      </c>
      <c r="E7" s="5" t="inlineStr">
        <is>
          <t>Customers commissioning artists; affects artists' income</t>
        </is>
      </c>
      <c r="F7" s="5" t="inlineStr">
        <is>
          <t>High</t>
        </is>
      </c>
      <c r="G7" s="5" t="inlineStr">
        <is>
          <t>Impact assessment; fairness testing and monthly monitoring; explanation of ranking to artists and customers</t>
        </is>
      </c>
      <c r="H7" s="5" t="inlineStr">
        <is>
          <t>[Head of AI], Head of AI</t>
        </is>
      </c>
      <c r="I7" s="5" t="inlineStr">
        <is>
          <t>IMS-PRO-002</t>
        </is>
      </c>
    </row>
    <row r="8">
      <c r="A8" s="5" t="inlineStr">
        <is>
          <t>AI-SYS-004</t>
        </is>
      </c>
      <c r="B8" s="5" t="inlineStr">
        <is>
          <t>SafeFrame</t>
        </is>
      </c>
      <c r="C8" s="5" t="inlineStr">
        <is>
          <t>AI customer / user (we buy it and rely on it as a control)</t>
        </is>
      </c>
      <c r="D8" s="5" t="inlineStr">
        <is>
          <t>Moderation vendor</t>
        </is>
      </c>
      <c r="E8" s="5" t="inlineStr">
        <is>
          <t>Runs automatically on all StoryFrame traffic</t>
        </is>
      </c>
      <c r="F8" s="5" t="inlineStr">
        <is>
          <t>High</t>
        </is>
      </c>
      <c r="G8" s="5" t="inlineStr">
        <is>
          <t>Assess fitness for our use; contract change notice and version pinning; canary testing</t>
        </is>
      </c>
      <c r="H8" s="5" t="inlineStr">
        <is>
          <t>[Creative Director], Creative Director</t>
        </is>
      </c>
      <c r="I8" s="5" t="inlineStr">
        <is>
          <t>IMS-PRO-002</t>
        </is>
      </c>
    </row>
    <row r="9">
      <c r="A9" s="5" t="inlineStr">
        <is>
          <t>AI-SYS-005</t>
        </is>
      </c>
      <c r="B9" s="5" t="inlineStr">
        <is>
          <t>CodeAssist</t>
        </is>
      </c>
      <c r="C9" s="5" t="inlineStr">
        <is>
          <t>AI customer / user</t>
        </is>
      </c>
      <c r="D9" s="5" t="inlineStr">
        <is>
          <t>Coding-assistant vendor</t>
        </is>
      </c>
      <c r="E9" s="5" t="inlineStr">
        <is>
          <t>Engineering staff</t>
        </is>
      </c>
      <c r="F9" s="5" t="inlineStr">
        <is>
          <t>Medium</t>
        </is>
      </c>
      <c r="G9" s="5" t="inlineStr">
        <is>
          <t>Acceptable-use rules; secret scanning; code review of suggestions</t>
        </is>
      </c>
      <c r="H9" s="5" t="inlineStr">
        <is>
          <t>[CTO], Chief Technology Officer and co-founder</t>
        </is>
      </c>
      <c r="I9" s="5" t="inlineStr">
        <is>
          <t>IMS-PRO-002</t>
        </is>
      </c>
    </row>
    <row r="10">
      <c r="A10" s="10" t="inlineStr">
        <is>
          <t>[AI-SYS-00x]</t>
        </is>
      </c>
      <c r="B10" s="10" t="inlineStr">
        <is>
          <t>[name]</t>
        </is>
      </c>
      <c r="C10" s="10" t="inlineStr">
        <is>
          <t>[AI provider / AI producer / AI customer / user / AI partner]</t>
        </is>
      </c>
      <c r="D10" s="10" t="inlineStr">
        <is>
          <t>[supplier]</t>
        </is>
      </c>
      <c r="E10" s="10" t="inlineStr">
        <is>
          <t>[users / affected]</t>
        </is>
      </c>
      <c r="F10" s="10" t="inlineStr">
        <is>
          <t>[High/Medium/Low]</t>
        </is>
      </c>
      <c r="G10" s="10" t="inlineStr">
        <is>
          <t>[obligations]</t>
        </is>
      </c>
      <c r="H10" s="10" t="inlineStr">
        <is>
          <t>[owner]</t>
        </is>
      </c>
      <c r="I10" s="10" t="inlineStr">
        <is>
          <t>[assessment ref]</t>
        </is>
      </c>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sheetData>
  <autoFilter ref="A4:I40"/>
  <mergeCells count="1">
    <mergeCell ref="A2:I2"/>
  </mergeCells>
  <conditionalFormatting sqref="F5:F40">
    <cfRule type="cellIs" priority="1" operator="equal" dxfId="0">
      <formula>"Low"</formula>
    </cfRule>
    <cfRule type="cellIs" priority="2" operator="equal" dxfId="1">
      <formula>"Medium"</formula>
    </cfRule>
    <cfRule type="cellIs" priority="3" operator="equal" dxfId="2">
      <formula>"High"</formula>
    </cfRule>
    <cfRule type="cellIs" priority="4" operator="equal" dxfId="3">
      <formula>"Critical"</formula>
    </cfRule>
  </conditionalFormatting>
  <dataValidations count="1">
    <dataValidation sqref="F5:F40" showDropDown="0" showInputMessage="0" showErrorMessage="0" allowBlank="1" errorTitle="Invalid value" error="Pick a value from the list." type="list">
      <formula1>"Low,Medium,High,Critical"</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F4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60" customWidth="1" min="3" max="3"/>
    <col width="11" customWidth="1" min="4" max="4"/>
    <col width="40" customWidth="1" min="5" max="5"/>
    <col width="18" customWidth="1" min="6" max="6"/>
  </cols>
  <sheetData>
    <row r="1">
      <c r="A1" s="8" t="inlineStr">
        <is>
          <t>Climate-change consideration</t>
        </is>
      </c>
    </row>
    <row r="2" ht="30" customHeight="1">
      <c r="A2" s="3" t="inlineStr">
        <is>
          <t>ISO/IEC 27001:2022/Amd 1:2024 added climate-change consideration to clauses 4.1 and 4.2. We apply the same consideration to the AIMS as good practice (and AI compute energy use is relevant to ISO/IEC 42001 Annex C 'environmental impact').</t>
        </is>
      </c>
    </row>
    <row r="4" ht="32" customHeight="1">
      <c r="A4" s="9" t="inlineStr">
        <is>
          <t>ID</t>
        </is>
      </c>
      <c r="B4" s="9" t="inlineStr">
        <is>
          <t>Question</t>
        </is>
      </c>
      <c r="C4" s="9" t="inlineStr">
        <is>
          <t>Our assessment</t>
        </is>
      </c>
      <c r="D4" s="9" t="inlineStr">
        <is>
          <t>Relevant?</t>
        </is>
      </c>
      <c r="E4" s="9" t="inlineStr">
        <is>
          <t>Action / link</t>
        </is>
      </c>
      <c r="F4" s="9" t="inlineStr">
        <is>
          <t>Owner</t>
        </is>
      </c>
    </row>
    <row r="5">
      <c r="A5" s="5" t="inlineStr">
        <is>
          <t>CC-01</t>
        </is>
      </c>
      <c r="B5" s="5" t="inlineStr">
        <is>
          <t>Does climate change affect our ability to protect information?</t>
        </is>
      </c>
      <c r="C5" s="5" t="inlineStr">
        <is>
          <t>Extreme heat or flooding could disrupt cloud regions or staff in the Gulf region; mitigated by multi-region AWS and remote work.</t>
        </is>
      </c>
      <c r="D5" s="5" t="inlineStr">
        <is>
          <t>Partly</t>
        </is>
      </c>
      <c r="E5" s="5" t="inlineStr">
        <is>
          <t>Covered by RSK-IS-004 and IMS-PRO-006.</t>
        </is>
      </c>
      <c r="F5" s="5" t="inlineStr">
        <is>
          <t>[Platform Engineer]</t>
        </is>
      </c>
    </row>
    <row r="6">
      <c r="A6" s="5" t="inlineStr">
        <is>
          <t>CC-02</t>
        </is>
      </c>
      <c r="B6" s="5" t="inlineStr">
        <is>
          <t>Do interested parties have climate-related requirements for us?</t>
        </is>
      </c>
      <c r="C6" s="5" t="inlineStr">
        <is>
          <t>Two EU agency customers ask for supplier sustainability statements; none make it a security or AI requirement yet.</t>
        </is>
      </c>
      <c r="D6" s="5" t="inlineStr">
        <is>
          <t>Partly</t>
        </is>
      </c>
      <c r="E6" s="5" t="inlineStr">
        <is>
          <t>Track in Interested Parties; review at each context review.</t>
        </is>
      </c>
      <c r="F6" s="5" t="inlineStr">
        <is>
          <t>[CEO]</t>
        </is>
      </c>
    </row>
    <row r="7">
      <c r="A7" s="5" t="inlineStr">
        <is>
          <t>CC-03</t>
        </is>
      </c>
      <c r="B7" s="5" t="inlineStr">
        <is>
          <t>Is the energy use of our AI systems significant?</t>
        </is>
      </c>
      <c r="C7" s="5" t="inlineStr">
        <is>
          <t>StoryFrame inference and occasional fine-tuning use GPU compute; small in absolute terms but our largest controllable footprint.</t>
        </is>
      </c>
      <c r="D7" s="5" t="inlineStr">
        <is>
          <t>Yes</t>
        </is>
      </c>
      <c r="E7" s="5" t="inlineStr">
        <is>
          <t>Report GPU hours per month in IMS-REG-003; prefer efficient model sizes.</t>
        </is>
      </c>
      <c r="F7" s="5" t="inlineStr">
        <is>
          <t>[Data and ML Lead]</t>
        </is>
      </c>
    </row>
    <row r="8">
      <c r="A8" s="5" t="inlineStr">
        <is>
          <t>CC-04</t>
        </is>
      </c>
      <c r="B8" s="5" t="inlineStr">
        <is>
          <t>Do AI outputs create climate-related harms (e.g. misinformation)?</t>
        </is>
      </c>
      <c r="C8" s="5" t="inlineStr">
        <is>
          <t>Not a known use of our product; covered by prohibited-content rules.</t>
        </is>
      </c>
      <c r="D8" s="5" t="inlineStr">
        <is>
          <t>No</t>
        </is>
      </c>
      <c r="E8" s="5" t="inlineStr">
        <is>
          <t>None beyond existing controls.</t>
        </is>
      </c>
      <c r="F8" s="5" t="inlineStr">
        <is>
          <t>[Creative Director]</t>
        </is>
      </c>
    </row>
    <row r="9">
      <c r="A9" s="5" t="inlineStr">
        <is>
          <t>CC-05</t>
        </is>
      </c>
      <c r="B9" s="5" t="inlineStr">
        <is>
          <t>Do climate risks affect key suppliers?</t>
        </is>
      </c>
      <c r="C9" s="5" t="inlineStr">
        <is>
          <t>Cloud and model suppliers publish resilience and sustainability reports.</t>
        </is>
      </c>
      <c r="D9" s="5" t="inlineStr">
        <is>
          <t>Partly</t>
        </is>
      </c>
      <c r="E9" s="5" t="inlineStr">
        <is>
          <t>Include in annual supplier review (IMS-POL-006).</t>
        </is>
      </c>
      <c r="F9" s="5" t="inlineStr">
        <is>
          <t>[Privacy and Legal Lead]</t>
        </is>
      </c>
    </row>
    <row r="10">
      <c r="A10" s="5" t="inlineStr">
        <is>
          <t>CC-06</t>
        </is>
      </c>
      <c r="B10" s="5" t="inlineStr">
        <is>
          <t>Conclusion</t>
        </is>
      </c>
      <c r="C10" s="5" t="inlineStr">
        <is>
          <t>Climate change is a relevant but low-priority issue for the IMS. It is recorded as issue context, not as a separate risk, apart from AI compute energy use, which we measure.</t>
        </is>
      </c>
      <c r="D10" s="5" t="inlineStr">
        <is>
          <t>Partly</t>
        </is>
      </c>
      <c r="E10" s="5" t="inlineStr">
        <is>
          <t>Review at each context review.</t>
        </is>
      </c>
      <c r="F10" s="5" t="inlineStr">
        <is>
          <t>[Compliance Coordinator]</t>
        </is>
      </c>
    </row>
    <row r="11">
      <c r="A11" s="5" t="inlineStr">
        <is>
          <t>CC-07</t>
        </is>
      </c>
      <c r="B11" s="10" t="inlineStr">
        <is>
          <t>[question]</t>
        </is>
      </c>
      <c r="C11" s="10" t="inlineStr">
        <is>
          <t>[assessment]</t>
        </is>
      </c>
      <c r="D11" s="10" t="inlineStr">
        <is>
          <t>[Yes/No/Partly]</t>
        </is>
      </c>
      <c r="E11" s="10" t="inlineStr">
        <is>
          <t>[action]</t>
        </is>
      </c>
      <c r="F11" s="10" t="inlineStr">
        <is>
          <t>[owner]</t>
        </is>
      </c>
    </row>
    <row r="12">
      <c r="A12" s="5" t="n"/>
      <c r="B12" s="5" t="n"/>
      <c r="C12" s="5" t="n"/>
      <c r="D12" s="5" t="n"/>
      <c r="E12" s="5" t="n"/>
      <c r="F12" s="5" t="n"/>
    </row>
    <row r="13">
      <c r="A13" s="5" t="n"/>
      <c r="B13" s="5" t="n"/>
      <c r="C13" s="5" t="n"/>
      <c r="D13" s="5" t="n"/>
      <c r="E13" s="5" t="n"/>
      <c r="F13" s="5" t="n"/>
    </row>
    <row r="14">
      <c r="A14" s="5" t="n"/>
      <c r="B14" s="5" t="n"/>
      <c r="C14" s="5" t="n"/>
      <c r="D14" s="5" t="n"/>
      <c r="E14" s="5" t="n"/>
      <c r="F14" s="5" t="n"/>
    </row>
    <row r="15">
      <c r="A15" s="5" t="n"/>
      <c r="B15" s="5" t="n"/>
      <c r="C15" s="5" t="n"/>
      <c r="D15" s="5" t="n"/>
      <c r="E15" s="5" t="n"/>
      <c r="F15" s="5" t="n"/>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0">
      <c r="A40" s="5" t="n"/>
      <c r="B40" s="5" t="n"/>
      <c r="C40" s="5" t="n"/>
      <c r="D40" s="5" t="n"/>
      <c r="E40" s="5" t="n"/>
      <c r="F40" s="5" t="n"/>
    </row>
    <row r="41">
      <c r="A41" s="5" t="n"/>
      <c r="B41" s="5" t="n"/>
      <c r="C41" s="5" t="n"/>
      <c r="D41" s="5" t="n"/>
      <c r="E41" s="5" t="n"/>
      <c r="F41" s="5" t="n"/>
    </row>
  </sheetData>
  <autoFilter ref="A4:F41"/>
  <mergeCells count="1">
    <mergeCell ref="A2:F2"/>
  </mergeCells>
  <dataValidations count="1">
    <dataValidation sqref="D5:D41" showDropDown="0" showInputMessage="0" showErrorMessage="0" allowBlank="1" errorTitle="Invalid value" error="Pick a value from the list." type="list">
      <formula1>"Yes,No,Partly"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Prof. Dr. Mohamed Fawzi Elgendi (Fawzooz)</dc:creator>
  <dc:title xmlns:dc="http://purl.org/dc/elements/1.1/">Context, Interested Parties and Scope Register</dc:title>
  <dcterms:created xmlns:dcterms="http://purl.org/dc/terms/" xmlns:xsi="http://www.w3.org/2001/XMLSchema-instance" xsi:type="dcterms:W3CDTF">2026-10-04T18:41:12Z</dcterms:created>
  <dcterms:modified xmlns:dcterms="http://purl.org/dc/terms/" xmlns:xsi="http://www.w3.org/2001/XMLSchema-instance" xsi:type="dcterms:W3CDTF">2026-10-04T18:41:12Z</dcterms:modified>
  <cp:lastModifiedBy>Prof. Dr. Mohamed Fawzi Elgendi (Fawzooz)</cp:lastModifiedBy>
</cp:coreProperties>
</file>