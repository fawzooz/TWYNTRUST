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Incident Log" sheetId="2" state="visible" r:id="rId2"/>
    <sheet xmlns:r="http://schemas.openxmlformats.org/officeDocument/2006/relationships" name="Severity Matrix" sheetId="3" state="visible" r:id="rId3"/>
    <sheet xmlns:r="http://schemas.openxmlformats.org/officeDocument/2006/relationships" name="Notification Tracker" sheetId="4" state="visible" r:id="rId4"/>
    <sheet xmlns:r="http://schemas.openxmlformats.org/officeDocument/2006/relationships" name="Lessons Learned" sheetId="5" state="visible" r:id="rId5"/>
  </sheets>
  <definedNames>
    <definedName name="_xlnm._FilterDatabase" localSheetId="1" hidden="1">'Incident Log'!$A$4:$Q$44</definedName>
    <definedName name="_xlnm.Print_Titles" localSheetId="1">'Incident Log'!$4:$4</definedName>
    <definedName name="_xlnm._FilterDatabase" localSheetId="2" hidden="1">'Severity Matrix'!$A$4:$I$8</definedName>
    <definedName name="_xlnm.Print_Titles" localSheetId="2">'Severity Matrix'!$4:$4</definedName>
    <definedName name="_xlnm._FilterDatabase" localSheetId="3" hidden="1">'Notification Tracker'!$A$4:$L$43</definedName>
    <definedName name="_xlnm.Print_Titles" localSheetId="3">'Notification Tracker'!$4:$4</definedName>
    <definedName name="_xlnm._FilterDatabase" localSheetId="4" hidden="1">'Lessons Learned'!$A$4:$G$42</definedName>
    <definedName name="_xlnm.Print_Titles" localSheetId="4">'Lessons Learned'!$4:$4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7">
    <font>
      <name val="Calibri"/>
      <family val="2"/>
      <color theme="1"/>
      <sz val="11"/>
      <scheme val="minor"/>
    </font>
    <font>
      <b val="1"/>
      <color rgb="000F766E"/>
      <sz val="10"/>
    </font>
    <font>
      <b val="1"/>
      <color rgb="00142B4C"/>
      <sz val="18"/>
    </font>
    <font>
      <b val="1"/>
    </font>
    <font>
      <b val="1"/>
      <color rgb="00142B4C"/>
      <sz val="12"/>
    </font>
    <font>
      <b val="1"/>
      <color rgb="00142B4C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EF2F7"/>
      </patternFill>
    </fill>
    <fill>
      <patternFill patternType="solid">
        <fgColor rgb="00142B4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C7D5"/>
      </left>
      <right style="thin">
        <color rgb="00BFC7D5"/>
      </right>
      <top style="thin">
        <color rgb="00BFC7D5"/>
      </top>
      <bottom style="thin">
        <color rgb="00BFC7D5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pivotButton="0" quotePrefix="0" xfId="0"/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dxfs count="7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F7C80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F2F2F2"/>
        </patternFill>
      </fill>
    </dxf>
    <dxf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TWYNTRUST FRAMEWORK · Quillfen Studio</t>
        </is>
      </c>
    </row>
    <row r="2">
      <c r="A2" s="2" t="inlineStr">
        <is>
          <t>Incident and Event Log</t>
        </is>
      </c>
    </row>
    <row r="3" ht="48" customHeight="1">
      <c r="A3" s="3" t="inlineStr">
        <is>
          <t>The single log of security events, security incidents, personal-data breaches and AI incidents at Quillfen Studio, with the severity matrix, a tracker for legal and contractual notifications, and lessons learned. Used with IMS-PRO-005 Incident Management Procedure (Security and AI Incidents).</t>
        </is>
      </c>
    </row>
    <row r="5">
      <c r="A5" s="4" t="inlineStr">
        <is>
          <t>Document ID</t>
        </is>
      </c>
      <c r="B5" s="5" t="inlineStr">
        <is>
          <t>IMS-REG-006</t>
        </is>
      </c>
    </row>
    <row r="6">
      <c r="A6" s="4" t="inlineStr">
        <is>
          <t>Version</t>
        </is>
      </c>
      <c r="B6" s="5" t="inlineStr">
        <is>
          <t>2.0</t>
        </is>
      </c>
    </row>
    <row r="7">
      <c r="A7" s="4" t="inlineStr">
        <is>
          <t>Prepared by</t>
        </is>
      </c>
      <c r="B7" s="5" t="inlineStr">
        <is>
          <t>Prof. Dr. Mohamed Fawzi Elgendi (Fawzooz), Fawzooz.ai</t>
        </is>
      </c>
    </row>
    <row r="8">
      <c r="A8" s="4" t="inlineStr">
        <is>
          <t>License</t>
        </is>
      </c>
      <c r="B8" s="5" t="inlineStr">
        <is>
          <t>CC BY 4.0 — free to share and adapt, including commercially, with credit to Prof. Dr. Mohamed Fawzi Elgendi (Fawzooz), Fawzooz.ai · creativecommons.org/licenses/by/4.0</t>
        </is>
      </c>
    </row>
    <row r="9">
      <c r="A9" s="4" t="inlineStr">
        <is>
          <t>Classification</t>
        </is>
      </c>
      <c r="B9" s="5" t="inlineStr">
        <is>
          <t>Internal</t>
        </is>
      </c>
    </row>
    <row r="10">
      <c r="A10" s="4" t="inlineStr">
        <is>
          <t>Owner</t>
        </is>
      </c>
      <c r="B10" s="5" t="inlineStr">
        <is>
          <t>[Security Lead]</t>
        </is>
      </c>
    </row>
    <row r="11">
      <c r="A11" s="4" t="inlineStr">
        <is>
          <t>Approved by</t>
        </is>
      </c>
      <c r="B11" s="5" t="inlineStr">
        <is>
          <t>[CEO] (Trust Council)</t>
        </is>
      </c>
    </row>
    <row r="12">
      <c r="A12" s="4" t="inlineStr">
        <is>
          <t>Effective date</t>
        </is>
      </c>
      <c r="B12" s="5" t="inlineStr">
        <is>
          <t>2026-11-01</t>
        </is>
      </c>
    </row>
    <row r="13">
      <c r="A13" s="4" t="inlineStr">
        <is>
          <t>Kit folder</t>
        </is>
      </c>
      <c r="B13" s="5" t="inlineStr">
        <is>
          <t>04 Operate - Lifecycle Controls</t>
        </is>
      </c>
    </row>
    <row r="14">
      <c r="A14" s="4" t="inlineStr">
        <is>
          <t>ISO/IEC 27001:2022</t>
        </is>
      </c>
      <c r="B14" s="5" t="inlineStr">
        <is>
          <t>Annex A 5.24–5.28, 6.8; Clause 10.2</t>
        </is>
      </c>
    </row>
    <row r="15">
      <c r="A15" s="4" t="inlineStr">
        <is>
          <t>ISO/IEC 42001:2023</t>
        </is>
      </c>
      <c r="B15" s="5" t="inlineStr">
        <is>
          <t>Annex A.3.3, A.8.3, A.8.4; Clause 10.2</t>
        </is>
      </c>
    </row>
    <row r="17">
      <c r="A17" s="6" t="inlineStr">
        <is>
          <t>How to use this workbook</t>
        </is>
      </c>
    </row>
    <row r="18" ht="30" customHeight="1">
      <c r="A18" t="inlineStr">
        <is>
          <t>•</t>
        </is>
      </c>
      <c r="B18" s="3" t="inlineStr">
        <is>
          <t>This is a SAMPLE filled in for the example company Quillfen Studio. Keep the structure, replace the example rows with your own.</t>
        </is>
      </c>
    </row>
    <row r="19" ht="15" customHeight="1">
      <c r="A19" t="inlineStr">
        <is>
          <t>•</t>
        </is>
      </c>
      <c r="B19" s="3" t="inlineStr">
        <is>
          <t>Yellow cells are fill-in fields. Drop-down cells only accept the listed values.</t>
        </is>
      </c>
    </row>
    <row r="20" ht="30" customHeight="1">
      <c r="A20" t="inlineStr">
        <is>
          <t>•</t>
        </is>
      </c>
      <c r="B20" s="3" t="inlineStr">
        <is>
          <t>Cells with formulas (scores, levels, due status) calculate automatically — do not type over them.</t>
        </is>
      </c>
    </row>
    <row r="21" ht="30" customHeight="1">
      <c r="A21" t="inlineStr">
        <is>
          <t>•</t>
        </is>
      </c>
      <c r="B21" s="3" t="inlineStr">
        <is>
          <t>Log every report, even ones you close in five minutes as 'Event / near miss'. Auditors look for a living log, and trends in small events are your early warning.</t>
        </is>
      </c>
    </row>
    <row r="22" ht="15" customHeight="1">
      <c r="A22" t="inlineStr">
        <is>
          <t>•</t>
        </is>
      </c>
      <c r="B22" s="3" t="inlineStr">
        <is>
          <t>Dates must be real dates (YYYY-MM-DD) for the 'Days open' and deadline formulas to work.</t>
        </is>
      </c>
    </row>
    <row r="24">
      <c r="A24" s="6" t="inlineStr">
        <is>
          <t>Sheets</t>
        </is>
      </c>
    </row>
    <row r="25" ht="30" customHeight="1">
      <c r="A25" s="7" t="inlineStr">
        <is>
          <t>Incident Log</t>
        </is>
      </c>
      <c r="B25" s="3" t="inlineStr">
        <is>
          <t>One row per event or incident. Severity uses the Severity Matrix sheet. Level and Days open calculate automatically.</t>
        </is>
      </c>
    </row>
    <row r="26" ht="30" customHeight="1">
      <c r="A26" s="7" t="inlineStr">
        <is>
          <t>Severity Matrix</t>
        </is>
      </c>
      <c r="B26" s="3" t="inlineStr">
        <is>
          <t>Same scale for security and AI incidents. Full guidance in IMS-PRO-005 Incident Management Procedure (Security and AI Incidents) section 4.</t>
        </is>
      </c>
    </row>
    <row r="27" ht="30" customHeight="1">
      <c r="A27" s="7" t="inlineStr">
        <is>
          <t>Notification Tracker</t>
        </is>
      </c>
      <c r="B27" s="3" t="inlineStr">
        <is>
          <t>Record every notification decision — including decisions NOT to notify, with the reason. Enter 'Awareness' as a date-time; the deadline and status calculate from 'Hours allowed'.</t>
        </is>
      </c>
    </row>
    <row r="28" ht="30" customHeight="1">
      <c r="A28" s="7" t="inlineStr">
        <is>
          <t>Lessons Learned</t>
        </is>
      </c>
      <c r="B28" s="3" t="inlineStr">
        <is>
          <t>From post-incident reviews. Actions that fix a nonconformity go to IMS-REG-008 Nonconformity, Corrective Action and Improvement Log; this sheet keeps the link.</t>
        </is>
      </c>
    </row>
  </sheetData>
  <mergeCells count="1"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44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34" customWidth="1" min="4" max="4"/>
    <col width="24" customWidth="1" min="5" max="5"/>
    <col width="14" customWidth="1" min="6" max="6"/>
    <col width="14" customWidth="1" min="7" max="7"/>
    <col width="10" customWidth="1" min="8" max="8"/>
    <col width="18" customWidth="1" min="9" max="9"/>
    <col width="16" customWidth="1" min="10" max="10"/>
    <col width="14" customWidth="1" min="11" max="11"/>
    <col width="48" customWidth="1" min="12" max="12"/>
    <col width="48" customWidth="1" min="13" max="13"/>
    <col width="12" customWidth="1" min="14" max="14"/>
    <col width="12" customWidth="1" min="15" max="15"/>
    <col width="9" customWidth="1" min="16" max="16"/>
    <col width="22" customWidth="1" min="17" max="17"/>
  </cols>
  <sheetData>
    <row r="1">
      <c r="A1" s="8" t="inlineStr">
        <is>
          <t>Incident and event log</t>
        </is>
      </c>
    </row>
    <row r="2" ht="30" customHeight="1">
      <c r="A2" s="3" t="inlineStr">
        <is>
          <t>One row per event or incident. Severity uses the Severity Matrix sheet. Level and Days open calculate automatically.</t>
        </is>
      </c>
    </row>
    <row r="4" ht="32" customHeight="1">
      <c r="A4" s="9" t="inlineStr">
        <is>
          <t>Incident ID</t>
        </is>
      </c>
      <c r="B4" s="9" t="inlineStr">
        <is>
          <t>Date occurred</t>
        </is>
      </c>
      <c r="C4" s="9" t="inlineStr">
        <is>
          <t>Date detected</t>
        </is>
      </c>
      <c r="D4" s="9" t="inlineStr">
        <is>
          <t>Title</t>
        </is>
      </c>
      <c r="E4" s="9" t="inlineStr">
        <is>
          <t>Type</t>
        </is>
      </c>
      <c r="F4" s="9" t="inlineStr">
        <is>
          <t>Asset / AI system</t>
        </is>
      </c>
      <c r="G4" s="9" t="inlineStr">
        <is>
          <t>Severity</t>
        </is>
      </c>
      <c r="H4" s="9" t="inlineStr">
        <is>
          <t>Level</t>
        </is>
      </c>
      <c r="I4" s="9" t="inlineStr">
        <is>
          <t>Reported by / source</t>
        </is>
      </c>
      <c r="J4" s="9" t="inlineStr">
        <is>
          <t>Incident Lead</t>
        </is>
      </c>
      <c r="K4" s="9" t="inlineStr">
        <is>
          <t>Personal data?</t>
        </is>
      </c>
      <c r="L4" s="9" t="inlineStr">
        <is>
          <t>Summary</t>
        </is>
      </c>
      <c r="M4" s="9" t="inlineStr">
        <is>
          <t>Containment and actions</t>
        </is>
      </c>
      <c r="N4" s="9" t="inlineStr">
        <is>
          <t>Status</t>
        </is>
      </c>
      <c r="O4" s="9" t="inlineStr">
        <is>
          <t>Date closed</t>
        </is>
      </c>
      <c r="P4" s="9" t="inlineStr">
        <is>
          <t>Days open</t>
        </is>
      </c>
      <c r="Q4" s="9" t="inlineStr">
        <is>
          <t>Links (risks, NCs, CAs)</t>
        </is>
      </c>
    </row>
    <row r="5">
      <c r="A5" s="5" t="inlineStr">
        <is>
          <t>INC-2026-001</t>
        </is>
      </c>
      <c r="B5" s="10" t="n">
        <v>46043</v>
      </c>
      <c r="C5" s="10" t="n">
        <v>46043</v>
      </c>
      <c r="D5" s="5" t="inlineStr">
        <is>
          <t>Phishing email impersonating the payment processor sent to finance</t>
        </is>
      </c>
      <c r="E5" s="5" t="inlineStr">
        <is>
          <t>Event / near miss</t>
        </is>
      </c>
      <c r="F5" s="5" t="inlineStr">
        <is>
          <t>AST-010</t>
        </is>
      </c>
      <c r="G5" s="5" t="inlineStr">
        <is>
          <t>Low (S4)</t>
        </is>
      </c>
      <c r="H5" s="5">
        <f>IF(G5="","",LEFT(G5,FIND(" ",G5)-1))</f>
        <v/>
      </c>
      <c r="I5" s="5" t="inlineStr">
        <is>
          <t>Staff report</t>
        </is>
      </c>
      <c r="J5" s="5" t="inlineStr">
        <is>
          <t>[Security Lead]</t>
        </is>
      </c>
      <c r="K5" s="5" t="inlineStr">
        <is>
          <t>No</t>
        </is>
      </c>
      <c r="L5" s="5" t="inlineStr">
        <is>
          <t>Two staff received a fake payout-failure email. Both reported it within 10 minutes; nobody clicked.</t>
        </is>
      </c>
      <c r="M5" s="5" t="inlineStr">
        <is>
          <t>Sender domain blocked; warning posted; used as a phishing-simulation template.</t>
        </is>
      </c>
      <c r="N5" s="5" t="inlineStr">
        <is>
          <t>Closed</t>
        </is>
      </c>
      <c r="O5" s="10" t="n">
        <v>46044</v>
      </c>
      <c r="P5" s="5">
        <f>IF(C5="","",IF(O5="",TODAY()-C5,O5-C5))</f>
        <v/>
      </c>
      <c r="Q5" s="5" t="inlineStr">
        <is>
          <t>RSK-IS-002</t>
        </is>
      </c>
    </row>
    <row r="6">
      <c r="A6" s="5" t="inlineStr">
        <is>
          <t>INC-2026-002</t>
        </is>
      </c>
      <c r="B6" s="10" t="n">
        <v>46062</v>
      </c>
      <c r="C6" s="10" t="n">
        <v>46062</v>
      </c>
      <c r="D6" s="5" t="inlineStr">
        <is>
          <t>Contractor laptop stolen from a car in Lisbon</t>
        </is>
      </c>
      <c r="E6" s="5" t="inlineStr">
        <is>
          <t>Security incident</t>
        </is>
      </c>
      <c r="F6" s="5" t="inlineStr">
        <is>
          <t>AST-010</t>
        </is>
      </c>
      <c r="G6" s="5" t="inlineStr">
        <is>
          <t>Medium (S3)</t>
        </is>
      </c>
      <c r="H6" s="5">
        <f>IF(G6="","",LEFT(G6,FIND(" ",G6)-1))</f>
        <v/>
      </c>
      <c r="I6" s="5" t="inlineStr">
        <is>
          <t>Contractor</t>
        </is>
      </c>
      <c r="J6" s="5" t="inlineStr">
        <is>
          <t>[Security Lead]</t>
        </is>
      </c>
      <c r="K6" s="5" t="inlineStr">
        <is>
          <t>Possible</t>
        </is>
      </c>
      <c r="L6" s="5" t="inlineStr">
        <is>
          <t>Company-managed laptop with full-disk encryption and passkey login stolen.</t>
        </is>
      </c>
      <c r="M6" s="5" t="inlineStr">
        <is>
          <t>Remote lock and wipe confirmed; sessions revoked; DPO assessed: encrypted, no notification needed.</t>
        </is>
      </c>
      <c r="N6" s="5" t="inlineStr">
        <is>
          <t>Closed</t>
        </is>
      </c>
      <c r="O6" s="10" t="n">
        <v>46064</v>
      </c>
      <c r="P6" s="5">
        <f>IF(C6="","",IF(O6="",TODAY()-C6,O6-C6))</f>
        <v/>
      </c>
      <c r="Q6" s="5" t="inlineStr">
        <is>
          <t>RSK-IS-002</t>
        </is>
      </c>
    </row>
    <row r="7">
      <c r="A7" s="5" t="inlineStr">
        <is>
          <t>INC-2026-003</t>
        </is>
      </c>
      <c r="B7" s="10" t="n">
        <v>46085</v>
      </c>
      <c r="C7" s="10" t="n">
        <v>46086</v>
      </c>
      <c r="D7" s="5" t="inlineStr">
        <is>
          <t>ScriptMate invented a scene not in the customer's script</t>
        </is>
      </c>
      <c r="E7" s="5" t="inlineStr">
        <is>
          <t>AI incident (model failure)</t>
        </is>
      </c>
      <c r="F7" s="5" t="inlineStr">
        <is>
          <t>AI-SYS-002</t>
        </is>
      </c>
      <c r="G7" s="5" t="inlineStr">
        <is>
          <t>Low (S4)</t>
        </is>
      </c>
      <c r="H7" s="5">
        <f>IF(G7="","",LEFT(G7,FIND(" ",G7)-1))</f>
        <v/>
      </c>
      <c r="I7" s="5" t="inlineStr">
        <is>
          <t>Customer support</t>
        </is>
      </c>
      <c r="J7" s="5" t="inlineStr">
        <is>
          <t>[Head of AI]</t>
        </is>
      </c>
      <c r="K7" s="5" t="inlineStr">
        <is>
          <t>No</t>
        </is>
      </c>
      <c r="L7" s="5" t="inlineStr">
        <is>
          <t>Shot list included a chase scene that did not exist in the script. Customer noticed before production.</t>
        </is>
      </c>
      <c r="M7" s="5" t="inlineStr">
        <is>
          <t>Prompt template tightened to cite script line numbers; hallucination test added to the evaluation set.</t>
        </is>
      </c>
      <c r="N7" s="5" t="inlineStr">
        <is>
          <t>Closed</t>
        </is>
      </c>
      <c r="O7" s="10" t="n">
        <v>46101</v>
      </c>
      <c r="P7" s="5">
        <f>IF(C7="","",IF(O7="",TODAY()-C7,O7-C7))</f>
        <v/>
      </c>
      <c r="Q7" s="5" t="inlineStr">
        <is>
          <t>RSK-AI-004</t>
        </is>
      </c>
    </row>
    <row r="8">
      <c r="A8" s="5" t="inlineStr">
        <is>
          <t>INC-2026-004</t>
        </is>
      </c>
      <c r="B8" s="10" t="n">
        <v>46126</v>
      </c>
      <c r="C8" s="10" t="n">
        <v>46126</v>
      </c>
      <c r="D8" s="5" t="inlineStr">
        <is>
          <t>Staging bucket briefly public after infrastructure change</t>
        </is>
      </c>
      <c r="E8" s="5" t="inlineStr">
        <is>
          <t>Security incident</t>
        </is>
      </c>
      <c r="F8" s="5" t="inlineStr">
        <is>
          <t>AST-004</t>
        </is>
      </c>
      <c r="G8" s="5" t="inlineStr">
        <is>
          <t>Medium (S3)</t>
        </is>
      </c>
      <c r="H8" s="5">
        <f>IF(G8="","",LEFT(G8,FIND(" ",G8)-1))</f>
        <v/>
      </c>
      <c r="I8" s="5" t="inlineStr">
        <is>
          <t>Cloud security alert</t>
        </is>
      </c>
      <c r="J8" s="5" t="inlineStr">
        <is>
          <t>[Platform Engineer]</t>
        </is>
      </c>
      <c r="K8" s="5" t="inlineStr">
        <is>
          <t>No</t>
        </is>
      </c>
      <c r="L8" s="5" t="inlineStr">
        <is>
          <t>A staging bucket holding synthetic test scripts was made public by a template error for 38 minutes.</t>
        </is>
      </c>
      <c r="M8" s="5" t="inlineStr">
        <is>
          <t>Public access blocked; access logs show no external reads; policy-as-code rule now blocks public buckets.</t>
        </is>
      </c>
      <c r="N8" s="5" t="inlineStr">
        <is>
          <t>Closed</t>
        </is>
      </c>
      <c r="O8" s="10" t="n">
        <v>46129</v>
      </c>
      <c r="P8" s="5">
        <f>IF(C8="","",IF(O8="",TODAY()-C8,O8-C8))</f>
        <v/>
      </c>
      <c r="Q8" s="5" t="inlineStr">
        <is>
          <t>RSK-IS-001</t>
        </is>
      </c>
    </row>
    <row r="9">
      <c r="A9" s="5" t="inlineStr">
        <is>
          <t>INC-2026-005</t>
        </is>
      </c>
      <c r="B9" s="10" t="n">
        <v>46148</v>
      </c>
      <c r="C9" s="10" t="n">
        <v>46148</v>
      </c>
      <c r="D9" s="5" t="inlineStr">
        <is>
          <t>Artists report that ArtistMatch never shows new portfolios</t>
        </is>
      </c>
      <c r="E9" s="5" t="inlineStr">
        <is>
          <t>AI incident (bias / fairness)</t>
        </is>
      </c>
      <c r="F9" s="5" t="inlineStr">
        <is>
          <t>AI-SYS-003</t>
        </is>
      </c>
      <c r="G9" s="5" t="inlineStr">
        <is>
          <t>Medium (S3)</t>
        </is>
      </c>
      <c r="H9" s="5">
        <f>IF(G9="","",LEFT(G9,FIND(" ",G9)-1))</f>
        <v/>
      </c>
      <c r="I9" s="5" t="inlineStr">
        <is>
          <t>Artist complaint (12 artists)</t>
        </is>
      </c>
      <c r="J9" s="5" t="inlineStr">
        <is>
          <t>[Head of AI]</t>
        </is>
      </c>
      <c r="K9" s="5" t="inlineStr">
        <is>
          <t>No</t>
        </is>
      </c>
      <c r="L9" s="5" t="inlineStr">
        <is>
          <t>Exposure ratio for new vs established artists had fallen to 0.55. Planned fairness monitoring was not running.</t>
        </is>
      </c>
      <c r="M9" s="5" t="inlineStr">
        <is>
          <t>Exploration boost re-enabled; monthly fairness report built; NC-2026-002 raised.</t>
        </is>
      </c>
      <c r="N9" s="5" t="inlineStr">
        <is>
          <t>Closed</t>
        </is>
      </c>
      <c r="O9" s="10" t="n">
        <v>46185</v>
      </c>
      <c r="P9" s="5">
        <f>IF(C9="","",IF(O9="",TODAY()-C9,O9-C9))</f>
        <v/>
      </c>
      <c r="Q9" s="5" t="inlineStr">
        <is>
          <t>RSK-AI-003; NC-2026-002</t>
        </is>
      </c>
    </row>
    <row r="10">
      <c r="A10" s="5" t="inlineStr">
        <is>
          <t>INC-2026-006</t>
        </is>
      </c>
      <c r="B10" s="10" t="n">
        <v>46197</v>
      </c>
      <c r="C10" s="10" t="n">
        <v>46197</v>
      </c>
      <c r="D10" s="5" t="inlineStr">
        <is>
          <t>Foundation-model API outage — ScriptMate unavailable 3 hours</t>
        </is>
      </c>
      <c r="E10" s="5" t="inlineStr">
        <is>
          <t>Availability / supplier</t>
        </is>
      </c>
      <c r="F10" s="5" t="inlineStr">
        <is>
          <t>AI-SYS-002</t>
        </is>
      </c>
      <c r="G10" s="5" t="inlineStr">
        <is>
          <t>Medium (S3)</t>
        </is>
      </c>
      <c r="H10" s="5">
        <f>IF(G10="","",LEFT(G10,FIND(" ",G10)-1))</f>
        <v/>
      </c>
      <c r="I10" s="5" t="inlineStr">
        <is>
          <t>Uptime monitoring</t>
        </is>
      </c>
      <c r="J10" s="5" t="inlineStr">
        <is>
          <t>[Platform Engineer]</t>
        </is>
      </c>
      <c r="K10" s="5" t="inlineStr">
        <is>
          <t>No</t>
        </is>
      </c>
      <c r="L10" s="5" t="inlineStr">
        <is>
          <t>Supplier-wide outage. Canvas worked; writing assistant showed 'paused'.</t>
        </is>
      </c>
      <c r="M10" s="5" t="inlineStr">
        <is>
          <t>Manual mode used; status page updated; alternative-provider switch not needed (outage &lt; RTO). See IMS-PRO-006 Business Continuity and ICT Readiness Plan.</t>
        </is>
      </c>
      <c r="N10" s="5" t="inlineStr">
        <is>
          <t>Closed</t>
        </is>
      </c>
      <c r="O10" s="10" t="n">
        <v>46197</v>
      </c>
      <c r="P10" s="5">
        <f>IF(C10="","",IF(O10="",TODAY()-C10,O10-C10))</f>
        <v/>
      </c>
      <c r="Q10" s="5" t="inlineStr">
        <is>
          <t>RSK-IS-004</t>
        </is>
      </c>
    </row>
    <row r="11">
      <c r="A11" s="5" t="inlineStr">
        <is>
          <t>INC-2026-007</t>
        </is>
      </c>
      <c r="B11" s="10" t="n">
        <v>46248</v>
      </c>
      <c r="C11" s="10" t="n">
        <v>46251</v>
      </c>
      <c r="D11" s="5" t="inlineStr">
        <is>
          <t>SafeFrame missed a real-person deepfake after a vendor model update</t>
        </is>
      </c>
      <c r="E11" s="5" t="inlineStr">
        <is>
          <t>AI incident (content safety) — also a supplier issue</t>
        </is>
      </c>
      <c r="F11" s="5" t="inlineStr">
        <is>
          <t>AI-SYS-004</t>
        </is>
      </c>
      <c r="G11" s="5" t="inlineStr">
        <is>
          <t>High (S2)</t>
        </is>
      </c>
      <c r="H11" s="5">
        <f>IF(G11="","",LEFT(G11,FIND(" ",G11)-1))</f>
        <v/>
      </c>
      <c r="I11" s="5" t="inlineStr">
        <is>
          <t>Weekly canary test set</t>
        </is>
      </c>
      <c r="J11" s="5" t="inlineStr">
        <is>
          <t>[Head of AI]</t>
        </is>
      </c>
      <c r="K11" s="5" t="inlineStr">
        <is>
          <t>Yes (likeness of a real person)</t>
        </is>
      </c>
      <c r="L11" s="5" t="inlineStr">
        <is>
          <t>A customer generated a storyboard panel showing a recognisable public figure in a fabricated scene. SafeFrame's vendor had shipped a model update two days earlier that lowered its likeness-detection rate. Our weekly canary test set caught the drop 3 days later; the customer had not published the image.</t>
        </is>
      </c>
      <c r="M11" s="5" t="inlineStr">
        <is>
          <t>Rolled SafeFrame back to the previous model version via the vendor's pinning option; added our own likeness check before image delivery; re-ran the canary set daily for 30 days; informed the customer.</t>
        </is>
      </c>
      <c r="N11" s="5" t="inlineStr">
        <is>
          <t>Closed</t>
        </is>
      </c>
      <c r="O11" s="10" t="n">
        <v>46281</v>
      </c>
      <c r="P11" s="5">
        <f>IF(C11="","",IF(O11="",TODAY()-C11,O11-C11))</f>
        <v/>
      </c>
      <c r="Q11" s="5" t="inlineStr">
        <is>
          <t>RSK-AI-005; NC-2026-003; CA-2026-004</t>
        </is>
      </c>
    </row>
    <row r="12">
      <c r="A12" s="5" t="inlineStr">
        <is>
          <t>INC-2026-008</t>
        </is>
      </c>
      <c r="B12" s="10" t="n">
        <v>46262</v>
      </c>
      <c r="C12" s="10" t="n">
        <v>46262</v>
      </c>
      <c r="D12" s="5" t="inlineStr">
        <is>
          <t>Image-model API key pushed to a feature branch</t>
        </is>
      </c>
      <c r="E12" s="5" t="inlineStr">
        <is>
          <t>Security incident</t>
        </is>
      </c>
      <c r="F12" s="5" t="inlineStr">
        <is>
          <t>AST-008</t>
        </is>
      </c>
      <c r="G12" s="5" t="inlineStr">
        <is>
          <t>Medium (S3)</t>
        </is>
      </c>
      <c r="H12" s="5">
        <f>IF(G12="","",LEFT(G12,FIND(" ",G12)-1))</f>
        <v/>
      </c>
      <c r="I12" s="5" t="inlineStr">
        <is>
          <t>Secret scanning</t>
        </is>
      </c>
      <c r="J12" s="5" t="inlineStr">
        <is>
          <t>[Security Lead]</t>
        </is>
      </c>
      <c r="K12" s="5" t="inlineStr">
        <is>
          <t>No</t>
        </is>
      </c>
      <c r="L12" s="5" t="inlineStr">
        <is>
          <t>Push protection was bypassed by mistake; key visible in the private repository for 40 minutes.</t>
        </is>
      </c>
      <c r="M12" s="5" t="inlineStr">
        <is>
          <t>Key rotated; provider logs show no misuse; bypass now needs Security Lead approval.</t>
        </is>
      </c>
      <c r="N12" s="5" t="inlineStr">
        <is>
          <t>Closed</t>
        </is>
      </c>
      <c r="O12" s="10" t="n">
        <v>46263</v>
      </c>
      <c r="P12" s="5">
        <f>IF(C12="","",IF(O12="",TODAY()-C12,O12-C12))</f>
        <v/>
      </c>
      <c r="Q12" s="5" t="inlineStr">
        <is>
          <t>RSK-IS-003</t>
        </is>
      </c>
    </row>
    <row r="13">
      <c r="A13" s="5" t="inlineStr">
        <is>
          <t>INC-2026-009</t>
        </is>
      </c>
      <c r="B13" s="10" t="n">
        <v>46273</v>
      </c>
      <c r="C13" s="10" t="n">
        <v>46287</v>
      </c>
      <c r="D13" s="5" t="inlineStr">
        <is>
          <t>Artist opt-out request not actioned within 14 days</t>
        </is>
      </c>
      <c r="E13" s="5" t="inlineStr">
        <is>
          <t>AI incident (data leak)</t>
        </is>
      </c>
      <c r="F13" s="5" t="inlineStr">
        <is>
          <t>AI-SYS-001</t>
        </is>
      </c>
      <c r="G13" s="5" t="inlineStr">
        <is>
          <t>Medium (S3)</t>
        </is>
      </c>
      <c r="H13" s="5">
        <f>IF(G13="","",LEFT(G13,FIND(" ",G13)-1))</f>
        <v/>
      </c>
      <c r="I13" s="5" t="inlineStr">
        <is>
          <t>Artist email</t>
        </is>
      </c>
      <c r="J13" s="5" t="inlineStr">
        <is>
          <t>[Data and ML Lead]</t>
        </is>
      </c>
      <c r="K13" s="5" t="inlineStr">
        <is>
          <t>Yes</t>
        </is>
      </c>
      <c r="L13" s="5" t="inlineStr">
        <is>
          <t>Opt-out email went to a shared inbox that was not monitored during leave; 17 days elapsed. Artwork was not used in any training run in that period.</t>
        </is>
      </c>
      <c r="M13" s="5" t="inlineStr">
        <is>
          <t>Request actioned; artist informed and apologised to; opt-outs now go to the consent ledger form only.</t>
        </is>
      </c>
      <c r="N13" s="5" t="inlineStr">
        <is>
          <t>Closed</t>
        </is>
      </c>
      <c r="O13" s="10" t="n">
        <v>46290</v>
      </c>
      <c r="P13" s="5">
        <f>IF(C13="","",IF(O13="",TODAY()-C13,O13-C13))</f>
        <v/>
      </c>
      <c r="Q13" s="5" t="inlineStr">
        <is>
          <t>RSK-AI-001; OBJ-03</t>
        </is>
      </c>
    </row>
    <row r="14">
      <c r="A14" s="5" t="inlineStr">
        <is>
          <t>INC-2026-010</t>
        </is>
      </c>
      <c r="B14" s="10" t="n">
        <v>46294</v>
      </c>
      <c r="C14" s="10" t="n">
        <v>46294</v>
      </c>
      <c r="D14" s="5" t="inlineStr">
        <is>
          <t>Prompt-injection attempts against the API to extract system prompts</t>
        </is>
      </c>
      <c r="E14" s="5" t="inlineStr">
        <is>
          <t>Event / near miss</t>
        </is>
      </c>
      <c r="F14" s="5" t="inlineStr">
        <is>
          <t>AI-SYS-002</t>
        </is>
      </c>
      <c r="G14" s="5" t="inlineStr">
        <is>
          <t>Low (S4)</t>
        </is>
      </c>
      <c r="H14" s="5">
        <f>IF(G14="","",LEFT(G14,FIND(" ",G14)-1))</f>
        <v/>
      </c>
      <c r="I14" s="5" t="inlineStr">
        <is>
          <t>API abuse alert</t>
        </is>
      </c>
      <c r="J14" s="5" t="inlineStr">
        <is>
          <t>[Security Lead]</t>
        </is>
      </c>
      <c r="K14" s="5" t="inlineStr">
        <is>
          <t>No</t>
        </is>
      </c>
      <c r="L14" s="5" t="inlineStr">
        <is>
          <t>One trial account sent 240 injection prompts in an hour. No system prompt was returned.</t>
        </is>
      </c>
      <c r="M14" s="5" t="inlineStr">
        <is>
          <t>Account suspended; pattern added to abuse rules.</t>
        </is>
      </c>
      <c r="N14" s="5" t="inlineStr">
        <is>
          <t>In progress</t>
        </is>
      </c>
      <c r="O14" s="5" t="n"/>
      <c r="P14" s="5">
        <f>IF(C14="","",IF(O14="",TODAY()-C14,O14-C14))</f>
        <v/>
      </c>
      <c r="Q14" s="5" t="inlineStr">
        <is>
          <t>RSK-AI-004</t>
        </is>
      </c>
    </row>
    <row r="15">
      <c r="A15" s="5" t="n"/>
      <c r="B15" s="5" t="n"/>
      <c r="C15" s="5" t="n"/>
      <c r="D15" s="5" t="n"/>
      <c r="E15" s="5" t="n"/>
      <c r="F15" s="5" t="n"/>
      <c r="G15" s="5" t="n"/>
      <c r="H15" s="5">
        <f>IF(G15="","",LEFT(G15,FIND(" ",G15)-1))</f>
        <v/>
      </c>
      <c r="I15" s="5" t="n"/>
      <c r="J15" s="5" t="n"/>
      <c r="K15" s="5" t="n"/>
      <c r="L15" s="5" t="n"/>
      <c r="M15" s="5" t="n"/>
      <c r="N15" s="5" t="n"/>
      <c r="O15" s="5" t="n"/>
      <c r="P15" s="5">
        <f>IF(C15="","",IF(O15="",TODAY()-C15,O15-C15))</f>
        <v/>
      </c>
      <c r="Q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>
        <f>IF(G16="","",LEFT(G16,FIND(" ",G16)-1))</f>
        <v/>
      </c>
      <c r="I16" s="5" t="n"/>
      <c r="J16" s="5" t="n"/>
      <c r="K16" s="5" t="n"/>
      <c r="L16" s="5" t="n"/>
      <c r="M16" s="5" t="n"/>
      <c r="N16" s="5" t="n"/>
      <c r="O16" s="5" t="n"/>
      <c r="P16" s="5">
        <f>IF(C16="","",IF(O16="",TODAY()-C16,O16-C16))</f>
        <v/>
      </c>
      <c r="Q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>
        <f>IF(G17="","",LEFT(G17,FIND(" ",G17)-1))</f>
        <v/>
      </c>
      <c r="I17" s="5" t="n"/>
      <c r="J17" s="5" t="n"/>
      <c r="K17" s="5" t="n"/>
      <c r="L17" s="5" t="n"/>
      <c r="M17" s="5" t="n"/>
      <c r="N17" s="5" t="n"/>
      <c r="O17" s="5" t="n"/>
      <c r="P17" s="5">
        <f>IF(C17="","",IF(O17="",TODAY()-C17,O17-C17))</f>
        <v/>
      </c>
      <c r="Q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>
        <f>IF(G18="","",LEFT(G18,FIND(" ",G18)-1))</f>
        <v/>
      </c>
      <c r="I18" s="5" t="n"/>
      <c r="J18" s="5" t="n"/>
      <c r="K18" s="5" t="n"/>
      <c r="L18" s="5" t="n"/>
      <c r="M18" s="5" t="n"/>
      <c r="N18" s="5" t="n"/>
      <c r="O18" s="5" t="n"/>
      <c r="P18" s="5">
        <f>IF(C18="","",IF(O18="",TODAY()-C18,O18-C18))</f>
        <v/>
      </c>
      <c r="Q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>
        <f>IF(G19="","",LEFT(G19,FIND(" ",G19)-1))</f>
        <v/>
      </c>
      <c r="I19" s="5" t="n"/>
      <c r="J19" s="5" t="n"/>
      <c r="K19" s="5" t="n"/>
      <c r="L19" s="5" t="n"/>
      <c r="M19" s="5" t="n"/>
      <c r="N19" s="5" t="n"/>
      <c r="O19" s="5" t="n"/>
      <c r="P19" s="5">
        <f>IF(C19="","",IF(O19="",TODAY()-C19,O19-C19))</f>
        <v/>
      </c>
      <c r="Q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>
        <f>IF(G20="","",LEFT(G20,FIND(" ",G20)-1))</f>
        <v/>
      </c>
      <c r="I20" s="5" t="n"/>
      <c r="J20" s="5" t="n"/>
      <c r="K20" s="5" t="n"/>
      <c r="L20" s="5" t="n"/>
      <c r="M20" s="5" t="n"/>
      <c r="N20" s="5" t="n"/>
      <c r="O20" s="5" t="n"/>
      <c r="P20" s="5">
        <f>IF(C20="","",IF(O20="",TODAY()-C20,O20-C20))</f>
        <v/>
      </c>
      <c r="Q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>
        <f>IF(G21="","",LEFT(G21,FIND(" ",G21)-1))</f>
        <v/>
      </c>
      <c r="I21" s="5" t="n"/>
      <c r="J21" s="5" t="n"/>
      <c r="K21" s="5" t="n"/>
      <c r="L21" s="5" t="n"/>
      <c r="M21" s="5" t="n"/>
      <c r="N21" s="5" t="n"/>
      <c r="O21" s="5" t="n"/>
      <c r="P21" s="5">
        <f>IF(C21="","",IF(O21="",TODAY()-C21,O21-C21))</f>
        <v/>
      </c>
      <c r="Q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>
        <f>IF(G22="","",LEFT(G22,FIND(" ",G22)-1))</f>
        <v/>
      </c>
      <c r="I22" s="5" t="n"/>
      <c r="J22" s="5" t="n"/>
      <c r="K22" s="5" t="n"/>
      <c r="L22" s="5" t="n"/>
      <c r="M22" s="5" t="n"/>
      <c r="N22" s="5" t="n"/>
      <c r="O22" s="5" t="n"/>
      <c r="P22" s="5">
        <f>IF(C22="","",IF(O22="",TODAY()-C22,O22-C22))</f>
        <v/>
      </c>
      <c r="Q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>
        <f>IF(G23="","",LEFT(G23,FIND(" ",G23)-1))</f>
        <v/>
      </c>
      <c r="I23" s="5" t="n"/>
      <c r="J23" s="5" t="n"/>
      <c r="K23" s="5" t="n"/>
      <c r="L23" s="5" t="n"/>
      <c r="M23" s="5" t="n"/>
      <c r="N23" s="5" t="n"/>
      <c r="O23" s="5" t="n"/>
      <c r="P23" s="5">
        <f>IF(C23="","",IF(O23="",TODAY()-C23,O23-C23))</f>
        <v/>
      </c>
      <c r="Q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>
        <f>IF(G24="","",LEFT(G24,FIND(" ",G24)-1))</f>
        <v/>
      </c>
      <c r="I24" s="5" t="n"/>
      <c r="J24" s="5" t="n"/>
      <c r="K24" s="5" t="n"/>
      <c r="L24" s="5" t="n"/>
      <c r="M24" s="5" t="n"/>
      <c r="N24" s="5" t="n"/>
      <c r="O24" s="5" t="n"/>
      <c r="P24" s="5">
        <f>IF(C24="","",IF(O24="",TODAY()-C24,O24-C24))</f>
        <v/>
      </c>
      <c r="Q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>
        <f>IF(G25="","",LEFT(G25,FIND(" ",G25)-1))</f>
        <v/>
      </c>
      <c r="I25" s="5" t="n"/>
      <c r="J25" s="5" t="n"/>
      <c r="K25" s="5" t="n"/>
      <c r="L25" s="5" t="n"/>
      <c r="M25" s="5" t="n"/>
      <c r="N25" s="5" t="n"/>
      <c r="O25" s="5" t="n"/>
      <c r="P25" s="5">
        <f>IF(C25="","",IF(O25="",TODAY()-C25,O25-C25))</f>
        <v/>
      </c>
      <c r="Q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>
        <f>IF(G26="","",LEFT(G26,FIND(" ",G26)-1))</f>
        <v/>
      </c>
      <c r="I26" s="5" t="n"/>
      <c r="J26" s="5" t="n"/>
      <c r="K26" s="5" t="n"/>
      <c r="L26" s="5" t="n"/>
      <c r="M26" s="5" t="n"/>
      <c r="N26" s="5" t="n"/>
      <c r="O26" s="5" t="n"/>
      <c r="P26" s="5">
        <f>IF(C26="","",IF(O26="",TODAY()-C26,O26-C26))</f>
        <v/>
      </c>
      <c r="Q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>
        <f>IF(G27="","",LEFT(G27,FIND(" ",G27)-1))</f>
        <v/>
      </c>
      <c r="I27" s="5" t="n"/>
      <c r="J27" s="5" t="n"/>
      <c r="K27" s="5" t="n"/>
      <c r="L27" s="5" t="n"/>
      <c r="M27" s="5" t="n"/>
      <c r="N27" s="5" t="n"/>
      <c r="O27" s="5" t="n"/>
      <c r="P27" s="5">
        <f>IF(C27="","",IF(O27="",TODAY()-C27,O27-C27))</f>
        <v/>
      </c>
      <c r="Q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>
        <f>IF(G28="","",LEFT(G28,FIND(" ",G28)-1))</f>
        <v/>
      </c>
      <c r="I28" s="5" t="n"/>
      <c r="J28" s="5" t="n"/>
      <c r="K28" s="5" t="n"/>
      <c r="L28" s="5" t="n"/>
      <c r="M28" s="5" t="n"/>
      <c r="N28" s="5" t="n"/>
      <c r="O28" s="5" t="n"/>
      <c r="P28" s="5">
        <f>IF(C28="","",IF(O28="",TODAY()-C28,O28-C28))</f>
        <v/>
      </c>
      <c r="Q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>
        <f>IF(G29="","",LEFT(G29,FIND(" ",G29)-1))</f>
        <v/>
      </c>
      <c r="I29" s="5" t="n"/>
      <c r="J29" s="5" t="n"/>
      <c r="K29" s="5" t="n"/>
      <c r="L29" s="5" t="n"/>
      <c r="M29" s="5" t="n"/>
      <c r="N29" s="5" t="n"/>
      <c r="O29" s="5" t="n"/>
      <c r="P29" s="5">
        <f>IF(C29="","",IF(O29="",TODAY()-C29,O29-C29))</f>
        <v/>
      </c>
      <c r="Q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>
        <f>IF(G30="","",LEFT(G30,FIND(" ",G30)-1))</f>
        <v/>
      </c>
      <c r="I30" s="5" t="n"/>
      <c r="J30" s="5" t="n"/>
      <c r="K30" s="5" t="n"/>
      <c r="L30" s="5" t="n"/>
      <c r="M30" s="5" t="n"/>
      <c r="N30" s="5" t="n"/>
      <c r="O30" s="5" t="n"/>
      <c r="P30" s="5">
        <f>IF(C30="","",IF(O30="",TODAY()-C30,O30-C30))</f>
        <v/>
      </c>
      <c r="Q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>
        <f>IF(G31="","",LEFT(G31,FIND(" ",G31)-1))</f>
        <v/>
      </c>
      <c r="I31" s="5" t="n"/>
      <c r="J31" s="5" t="n"/>
      <c r="K31" s="5" t="n"/>
      <c r="L31" s="5" t="n"/>
      <c r="M31" s="5" t="n"/>
      <c r="N31" s="5" t="n"/>
      <c r="O31" s="5" t="n"/>
      <c r="P31" s="5">
        <f>IF(C31="","",IF(O31="",TODAY()-C31,O31-C31))</f>
        <v/>
      </c>
      <c r="Q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>
        <f>IF(G32="","",LEFT(G32,FIND(" ",G32)-1))</f>
        <v/>
      </c>
      <c r="I32" s="5" t="n"/>
      <c r="J32" s="5" t="n"/>
      <c r="K32" s="5" t="n"/>
      <c r="L32" s="5" t="n"/>
      <c r="M32" s="5" t="n"/>
      <c r="N32" s="5" t="n"/>
      <c r="O32" s="5" t="n"/>
      <c r="P32" s="5">
        <f>IF(C32="","",IF(O32="",TODAY()-C32,O32-C32))</f>
        <v/>
      </c>
      <c r="Q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>
        <f>IF(G33="","",LEFT(G33,FIND(" ",G33)-1))</f>
        <v/>
      </c>
      <c r="I33" s="5" t="n"/>
      <c r="J33" s="5" t="n"/>
      <c r="K33" s="5" t="n"/>
      <c r="L33" s="5" t="n"/>
      <c r="M33" s="5" t="n"/>
      <c r="N33" s="5" t="n"/>
      <c r="O33" s="5" t="n"/>
      <c r="P33" s="5">
        <f>IF(C33="","",IF(O33="",TODAY()-C33,O33-C33))</f>
        <v/>
      </c>
      <c r="Q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>
        <f>IF(G34="","",LEFT(G34,FIND(" ",G34)-1))</f>
        <v/>
      </c>
      <c r="I34" s="5" t="n"/>
      <c r="J34" s="5" t="n"/>
      <c r="K34" s="5" t="n"/>
      <c r="L34" s="5" t="n"/>
      <c r="M34" s="5" t="n"/>
      <c r="N34" s="5" t="n"/>
      <c r="O34" s="5" t="n"/>
      <c r="P34" s="5">
        <f>IF(C34="","",IF(O34="",TODAY()-C34,O34-C34))</f>
        <v/>
      </c>
      <c r="Q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>
        <f>IF(G35="","",LEFT(G35,FIND(" ",G35)-1))</f>
        <v/>
      </c>
      <c r="I35" s="5" t="n"/>
      <c r="J35" s="5" t="n"/>
      <c r="K35" s="5" t="n"/>
      <c r="L35" s="5" t="n"/>
      <c r="M35" s="5" t="n"/>
      <c r="N35" s="5" t="n"/>
      <c r="O35" s="5" t="n"/>
      <c r="P35" s="5">
        <f>IF(C35="","",IF(O35="",TODAY()-C35,O35-C35))</f>
        <v/>
      </c>
      <c r="Q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>
        <f>IF(G36="","",LEFT(G36,FIND(" ",G36)-1))</f>
        <v/>
      </c>
      <c r="I36" s="5" t="n"/>
      <c r="J36" s="5" t="n"/>
      <c r="K36" s="5" t="n"/>
      <c r="L36" s="5" t="n"/>
      <c r="M36" s="5" t="n"/>
      <c r="N36" s="5" t="n"/>
      <c r="O36" s="5" t="n"/>
      <c r="P36" s="5">
        <f>IF(C36="","",IF(O36="",TODAY()-C36,O36-C36))</f>
        <v/>
      </c>
      <c r="Q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>
        <f>IF(G37="","",LEFT(G37,FIND(" ",G37)-1))</f>
        <v/>
      </c>
      <c r="I37" s="5" t="n"/>
      <c r="J37" s="5" t="n"/>
      <c r="K37" s="5" t="n"/>
      <c r="L37" s="5" t="n"/>
      <c r="M37" s="5" t="n"/>
      <c r="N37" s="5" t="n"/>
      <c r="O37" s="5" t="n"/>
      <c r="P37" s="5">
        <f>IF(C37="","",IF(O37="",TODAY()-C37,O37-C37))</f>
        <v/>
      </c>
      <c r="Q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>
        <f>IF(G38="","",LEFT(G38,FIND(" ",G38)-1))</f>
        <v/>
      </c>
      <c r="I38" s="5" t="n"/>
      <c r="J38" s="5" t="n"/>
      <c r="K38" s="5" t="n"/>
      <c r="L38" s="5" t="n"/>
      <c r="M38" s="5" t="n"/>
      <c r="N38" s="5" t="n"/>
      <c r="O38" s="5" t="n"/>
      <c r="P38" s="5">
        <f>IF(C38="","",IF(O38="",TODAY()-C38,O38-C38))</f>
        <v/>
      </c>
      <c r="Q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>
        <f>IF(G39="","",LEFT(G39,FIND(" ",G39)-1))</f>
        <v/>
      </c>
      <c r="I39" s="5" t="n"/>
      <c r="J39" s="5" t="n"/>
      <c r="K39" s="5" t="n"/>
      <c r="L39" s="5" t="n"/>
      <c r="M39" s="5" t="n"/>
      <c r="N39" s="5" t="n"/>
      <c r="O39" s="5" t="n"/>
      <c r="P39" s="5">
        <f>IF(C39="","",IF(O39="",TODAY()-C39,O39-C39))</f>
        <v/>
      </c>
      <c r="Q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>
        <f>IF(G40="","",LEFT(G40,FIND(" ",G40)-1))</f>
        <v/>
      </c>
      <c r="I40" s="5" t="n"/>
      <c r="J40" s="5" t="n"/>
      <c r="K40" s="5" t="n"/>
      <c r="L40" s="5" t="n"/>
      <c r="M40" s="5" t="n"/>
      <c r="N40" s="5" t="n"/>
      <c r="O40" s="5" t="n"/>
      <c r="P40" s="5">
        <f>IF(C40="","",IF(O40="",TODAY()-C40,O40-C40))</f>
        <v/>
      </c>
      <c r="Q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>
        <f>IF(G41="","",LEFT(G41,FIND(" ",G41)-1))</f>
        <v/>
      </c>
      <c r="I41" s="5" t="n"/>
      <c r="J41" s="5" t="n"/>
      <c r="K41" s="5" t="n"/>
      <c r="L41" s="5" t="n"/>
      <c r="M41" s="5" t="n"/>
      <c r="N41" s="5" t="n"/>
      <c r="O41" s="5" t="n"/>
      <c r="P41" s="5">
        <f>IF(C41="","",IF(O41="",TODAY()-C41,O41-C41))</f>
        <v/>
      </c>
      <c r="Q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>
        <f>IF(G42="","",LEFT(G42,FIND(" ",G42)-1))</f>
        <v/>
      </c>
      <c r="I42" s="5" t="n"/>
      <c r="J42" s="5" t="n"/>
      <c r="K42" s="5" t="n"/>
      <c r="L42" s="5" t="n"/>
      <c r="M42" s="5" t="n"/>
      <c r="N42" s="5" t="n"/>
      <c r="O42" s="5" t="n"/>
      <c r="P42" s="5">
        <f>IF(C42="","",IF(O42="",TODAY()-C42,O42-C42))</f>
        <v/>
      </c>
      <c r="Q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>
        <f>IF(G43="","",LEFT(G43,FIND(" ",G43)-1))</f>
        <v/>
      </c>
      <c r="I43" s="5" t="n"/>
      <c r="J43" s="5" t="n"/>
      <c r="K43" s="5" t="n"/>
      <c r="L43" s="5" t="n"/>
      <c r="M43" s="5" t="n"/>
      <c r="N43" s="5" t="n"/>
      <c r="O43" s="5" t="n"/>
      <c r="P43" s="5">
        <f>IF(C43="","",IF(O43="",TODAY()-C43,O43-C43))</f>
        <v/>
      </c>
      <c r="Q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>
        <f>IF(G44="","",LEFT(G44,FIND(" ",G44)-1))</f>
        <v/>
      </c>
      <c r="I44" s="5" t="n"/>
      <c r="J44" s="5" t="n"/>
      <c r="K44" s="5" t="n"/>
      <c r="L44" s="5" t="n"/>
      <c r="M44" s="5" t="n"/>
      <c r="N44" s="5" t="n"/>
      <c r="O44" s="5" t="n"/>
      <c r="P44" s="5">
        <f>IF(C44="","",IF(O44="",TODAY()-C44,O44-C44))</f>
        <v/>
      </c>
      <c r="Q44" s="5" t="n"/>
    </row>
  </sheetData>
  <autoFilter ref="A4:Q44"/>
  <mergeCells count="1">
    <mergeCell ref="A2:Q2"/>
  </mergeCells>
  <conditionalFormatting sqref="H5:H44">
    <cfRule type="cellIs" priority="1" operator="equal" dxfId="0">
      <formula>"Low"</formula>
    </cfRule>
    <cfRule type="cellIs" priority="2" operator="equal" dxfId="1">
      <formula>"Medium"</formula>
    </cfRule>
    <cfRule type="cellIs" priority="3" operator="equal" dxfId="2">
      <formula>"High"</formula>
    </cfRule>
    <cfRule type="cellIs" priority="4" operator="equal" dxfId="3">
      <formula>"Critical"</formula>
    </cfRule>
  </conditionalFormatting>
  <conditionalFormatting sqref="N5:N44">
    <cfRule type="cellIs" priority="5" operator="equal" dxfId="0">
      <formula>"Implemented"</formula>
    </cfRule>
    <cfRule type="cellIs" priority="6" operator="equal" dxfId="0">
      <formula>"Done"</formula>
    </cfRule>
    <cfRule type="cellIs" priority="7" operator="equal" dxfId="0">
      <formula>"Closed"</formula>
    </cfRule>
    <cfRule type="cellIs" priority="8" operator="equal" dxfId="0">
      <formula>"Yes"</formula>
    </cfRule>
    <cfRule type="cellIs" priority="9" operator="equal" dxfId="0">
      <formula>"Met"</formula>
    </cfRule>
    <cfRule type="cellIs" priority="10" operator="equal" dxfId="1">
      <formula>"Partially implemented"</formula>
    </cfRule>
    <cfRule type="cellIs" priority="11" operator="equal" dxfId="1">
      <formula>"Partial"</formula>
    </cfRule>
    <cfRule type="cellIs" priority="12" operator="equal" dxfId="1">
      <formula>"Done late"</formula>
    </cfRule>
    <cfRule type="cellIs" priority="13" operator="equal" dxfId="1">
      <formula>"In progress"</formula>
    </cfRule>
    <cfRule type="cellIs" priority="14" operator="equal" dxfId="1">
      <formula>"Open"</formula>
    </cfRule>
    <cfRule type="cellIs" priority="15" operator="equal" dxfId="1">
      <formula>"On track"</formula>
    </cfRule>
    <cfRule type="cellIs" priority="16" operator="equal" dxfId="4">
      <formula>"Planned"</formula>
    </cfRule>
    <cfRule type="cellIs" priority="17" operator="equal" dxfId="5">
      <formula>"Not started"</formula>
    </cfRule>
    <cfRule type="cellIs" priority="18" operator="equal" dxfId="2">
      <formula>"Not implemented"</formula>
    </cfRule>
    <cfRule type="cellIs" priority="19" operator="equal" dxfId="2">
      <formula>"No"</formula>
    </cfRule>
    <cfRule type="cellIs" priority="20" operator="equal" dxfId="2">
      <formula>"Overdue"</formula>
    </cfRule>
    <cfRule type="cellIs" priority="21" operator="equal" dxfId="2">
      <formula>"Not met"</formula>
    </cfRule>
    <cfRule type="cellIs" priority="22" operator="equal" dxfId="6">
      <formula>"Excluded"</formula>
    </cfRule>
  </conditionalFormatting>
  <dataValidations count="4">
    <dataValidation sqref="G5:G44" showDropDown="0" showInputMessage="0" showErrorMessage="0" allowBlank="1" errorTitle="Invalid value" error="Pick a value from the list." type="list">
      <formula1>"Critical (S1),High (S2),Medium (S3),Low (S4)"</formula1>
    </dataValidation>
    <dataValidation sqref="E5:E44" showDropDown="0" showInputMessage="0" showErrorMessage="0" allowBlank="1" errorTitle="Invalid value" error="Pick a value from the list." type="list">
      <formula1>"Security incident,Personal-data breach,AI incident (harmful output),AI incident (bias / fairness),AI incident (model failure),AI incident (content safety) — also a supplier issue,AI incident (data leak),Availability / supplier,Event / near miss"</formula1>
    </dataValidation>
    <dataValidation sqref="N5:N44" showDropDown="0" showInputMessage="0" showErrorMessage="0" allowBlank="1" errorTitle="Invalid value" error="Pick a value from the list." type="list">
      <formula1>"Open,In progress,Closed"</formula1>
    </dataValidation>
    <dataValidation sqref="K5:K44" showDropDown="0" showInputMessage="0" showErrorMessage="0" allowBlank="1" errorTitle="Invalid value" error="Pick a value from the list." type="list">
      <formula1>"Yes,No,Possible"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8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40" customWidth="1" min="3" max="3"/>
    <col width="30" customWidth="1" min="4" max="4"/>
    <col width="34" customWidth="1" min="5" max="5"/>
    <col width="13" customWidth="1" min="6" max="6"/>
    <col width="13" customWidth="1" min="7" max="7"/>
    <col width="13" customWidth="1" min="8" max="8"/>
    <col width="26" customWidth="1" min="9" max="9"/>
  </cols>
  <sheetData>
    <row r="1">
      <c r="A1" s="8" t="inlineStr">
        <is>
          <t>Severity matrix and response times</t>
        </is>
      </c>
    </row>
    <row r="2" ht="30" customHeight="1">
      <c r="A2" s="3" t="inlineStr">
        <is>
          <t>Same scale for security and AI incidents. Full guidance in IMS-PRO-005 Incident Management Procedure (Security and AI Incidents) section 4.</t>
        </is>
      </c>
    </row>
    <row r="4" ht="32" customHeight="1">
      <c r="A4" s="9" t="inlineStr">
        <is>
          <t>Severity</t>
        </is>
      </c>
      <c r="B4" s="9" t="inlineStr">
        <is>
          <t>Level</t>
        </is>
      </c>
      <c r="C4" s="9" t="inlineStr">
        <is>
          <t>Typical criteria</t>
        </is>
      </c>
      <c r="D4" s="9" t="inlineStr">
        <is>
          <t>Security example</t>
        </is>
      </c>
      <c r="E4" s="9" t="inlineStr">
        <is>
          <t>AI example</t>
        </is>
      </c>
      <c r="F4" s="9" t="inlineStr">
        <is>
          <t>Acknowledge within</t>
        </is>
      </c>
      <c r="G4" s="9" t="inlineStr">
        <is>
          <t>Contain within</t>
        </is>
      </c>
      <c r="H4" s="9" t="inlineStr">
        <is>
          <t>Update cadence</t>
        </is>
      </c>
      <c r="I4" s="9" t="inlineStr">
        <is>
          <t>Who is told</t>
        </is>
      </c>
    </row>
    <row r="5">
      <c r="A5" s="5" t="inlineStr">
        <is>
          <t>Critical (S1)</t>
        </is>
      </c>
      <c r="B5" s="5" t="inlineStr">
        <is>
          <t>Critical</t>
        </is>
      </c>
      <c r="C5" s="5" t="inlineStr">
        <is>
          <t>Large breach of Restricted data; prohibited content delivered; full outage; attacker in production</t>
        </is>
      </c>
      <c r="D5" s="5" t="inlineStr">
        <is>
          <t>Customer scripts bucket exfiltrated</t>
        </is>
      </c>
      <c r="E5" s="5" t="inlineStr">
        <is>
          <t>SafeFrame fails and prohibited content reaches users</t>
        </is>
      </c>
      <c r="F5" s="5" t="inlineStr">
        <is>
          <t>15 minutes</t>
        </is>
      </c>
      <c r="G5" s="5" t="inlineStr">
        <is>
          <t>4 hours</t>
        </is>
      </c>
      <c r="H5" s="5" t="inlineStr">
        <is>
          <t>Hourly</t>
        </is>
      </c>
      <c r="I5" s="5" t="inlineStr">
        <is>
          <t>CEO at once; Trust Council same day</t>
        </is>
      </c>
    </row>
    <row r="6">
      <c r="A6" s="5" t="inlineStr">
        <is>
          <t>High (S2)</t>
        </is>
      </c>
      <c r="B6" s="5" t="inlineStr">
        <is>
          <t>High</t>
        </is>
      </c>
      <c r="C6" s="5" t="inlineStr">
        <is>
          <t>Limited breach; harmful AI output reached a customer; safety control weakened; outage &gt; 2 h</t>
        </is>
      </c>
      <c r="D6" s="5" t="inlineStr">
        <is>
          <t>Artist payout details exposed to another artist</t>
        </is>
      </c>
      <c r="E6" s="5" t="inlineStr">
        <is>
          <t>SafeFrame missed a real-person deepfake after a vendor model update</t>
        </is>
      </c>
      <c r="F6" s="5" t="inlineStr">
        <is>
          <t>1 hour</t>
        </is>
      </c>
      <c r="G6" s="5" t="inlineStr">
        <is>
          <t>24 hours</t>
        </is>
      </c>
      <c r="H6" s="5" t="inlineStr">
        <is>
          <t>Every 4 hours</t>
        </is>
      </c>
      <c r="I6" s="5" t="inlineStr">
        <is>
          <t>CEO and both leads within 1 hour</t>
        </is>
      </c>
    </row>
    <row r="7">
      <c r="A7" s="5" t="inlineStr">
        <is>
          <t>Medium (S3)</t>
        </is>
      </c>
      <c r="B7" s="5" t="inlineStr">
        <is>
          <t>Medium</t>
        </is>
      </c>
      <c r="C7" s="5" t="inlineStr">
        <is>
          <t>Contained issue, no confirmed exposure; credible bias complaint; AI quality failure without serious harm</t>
        </is>
      </c>
      <c r="D7" s="5" t="inlineStr">
        <is>
          <t>Lost encrypted laptop</t>
        </is>
      </c>
      <c r="E7" s="5" t="inlineStr">
        <is>
          <t>ArtistMatch fairness complaint</t>
        </is>
      </c>
      <c r="F7" s="5" t="inlineStr">
        <is>
          <t>1 working day</t>
        </is>
      </c>
      <c r="G7" s="5" t="inlineStr">
        <is>
          <t>5 working days</t>
        </is>
      </c>
      <c r="H7" s="5" t="inlineStr">
        <is>
          <t>Daily</t>
        </is>
      </c>
      <c r="I7" s="5" t="inlineStr">
        <is>
          <t>Incident Lead and system owner</t>
        </is>
      </c>
    </row>
    <row r="8">
      <c r="A8" s="5" t="inlineStr">
        <is>
          <t>Low (S4)</t>
        </is>
      </c>
      <c r="B8" s="5" t="inlineStr">
        <is>
          <t>Low</t>
        </is>
      </c>
      <c r="C8" s="5" t="inlineStr">
        <is>
          <t>Event or near miss; blocked attack; single low-impact output issue</t>
        </is>
      </c>
      <c r="D8" s="5" t="inlineStr">
        <is>
          <t>Phishing email reported, nobody clicked</t>
        </is>
      </c>
      <c r="E8" s="5" t="inlineStr">
        <is>
          <t>Single odd shot list corrected by user</t>
        </is>
      </c>
      <c r="F8" s="5" t="inlineStr">
        <is>
          <t>3 working days</t>
        </is>
      </c>
      <c r="G8" s="5" t="inlineStr">
        <is>
          <t>30 days</t>
        </is>
      </c>
      <c r="H8" s="5" t="inlineStr">
        <is>
          <t>On closure</t>
        </is>
      </c>
      <c r="I8" s="5" t="inlineStr">
        <is>
          <t>Logged; monthly review</t>
        </is>
      </c>
    </row>
  </sheetData>
  <autoFilter ref="A4:I8"/>
  <mergeCells count="1">
    <mergeCell ref="A2:I2"/>
  </mergeCells>
  <conditionalFormatting sqref="B5:B8">
    <cfRule type="cellIs" priority="1" operator="equal" dxfId="0">
      <formula>"Low"</formula>
    </cfRule>
    <cfRule type="cellIs" priority="2" operator="equal" dxfId="1">
      <formula>"Medium"</formula>
    </cfRule>
    <cfRule type="cellIs" priority="3" operator="equal" dxfId="2">
      <formula>"High"</formula>
    </cfRule>
    <cfRule type="cellIs" priority="4" operator="equal" dxfId="3">
      <formula>"Critical"</formula>
    </cfRule>
  </conditionalFormatting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43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26" customWidth="1" min="4" max="4"/>
    <col width="11" customWidth="1" min="5" max="5"/>
    <col width="18" customWidth="1" min="6" max="6"/>
    <col width="18" customWidth="1" min="7" max="7"/>
    <col width="10" customWidth="1" min="8" max="8"/>
    <col width="18" customWidth="1" min="9" max="9"/>
    <col width="13" customWidth="1" min="10" max="10"/>
    <col width="16" customWidth="1" min="11" max="11"/>
    <col width="46" customWidth="1" min="12" max="12"/>
  </cols>
  <sheetData>
    <row r="1">
      <c r="A1" s="8" t="inlineStr">
        <is>
          <t>Regulator, customer and other notifications</t>
        </is>
      </c>
    </row>
    <row r="2" ht="30" customHeight="1">
      <c r="A2" s="3" t="inlineStr">
        <is>
          <t>Record every notification decision — including decisions NOT to notify, with the reason. Enter 'Awareness' as a date-time; the deadline and status calculate from 'Hours allowed'.</t>
        </is>
      </c>
    </row>
    <row r="4" ht="32" customHeight="1">
      <c r="A4" s="9" t="inlineStr">
        <is>
          <t>Notification ID</t>
        </is>
      </c>
      <c r="B4" s="9" t="inlineStr">
        <is>
          <t>Incident ID</t>
        </is>
      </c>
      <c r="C4" s="9" t="inlineStr">
        <is>
          <t>Recipient</t>
        </is>
      </c>
      <c r="D4" s="9" t="inlineStr">
        <is>
          <t>Basis (law / contract)</t>
        </is>
      </c>
      <c r="E4" s="9" t="inlineStr">
        <is>
          <t>Required?</t>
        </is>
      </c>
      <c r="F4" s="9" t="inlineStr">
        <is>
          <t>Awareness (date-time)</t>
        </is>
      </c>
      <c r="G4" s="9" t="inlineStr">
        <is>
          <t>Deadline</t>
        </is>
      </c>
      <c r="H4" s="9" t="inlineStr">
        <is>
          <t>Hours allowed</t>
        </is>
      </c>
      <c r="I4" s="9" t="inlineStr">
        <is>
          <t>Sent at</t>
        </is>
      </c>
      <c r="J4" s="9" t="inlineStr">
        <is>
          <t>Status</t>
        </is>
      </c>
      <c r="K4" s="9" t="inlineStr">
        <is>
          <t>Owner</t>
        </is>
      </c>
      <c r="L4" s="9" t="inlineStr">
        <is>
          <t>Notes</t>
        </is>
      </c>
    </row>
    <row r="5">
      <c r="A5" s="5" t="inlineStr">
        <is>
          <t>NOT-001</t>
        </is>
      </c>
      <c r="B5" s="5" t="inlineStr">
        <is>
          <t>INC-2026-002</t>
        </is>
      </c>
      <c r="C5" s="5" t="inlineStr">
        <is>
          <t>EU supervisory authority (GDPR)</t>
        </is>
      </c>
      <c r="D5" s="5" t="inlineStr">
        <is>
          <t>GDPR Art. 33</t>
        </is>
      </c>
      <c r="E5" s="5" t="inlineStr">
        <is>
          <t>No</t>
        </is>
      </c>
      <c r="F5" s="11" t="n">
        <v>46062.66666666666</v>
      </c>
      <c r="G5" s="5">
        <f>IF(OR(F5="",H5=""),"",TEXT(F5+H5/24,"yyyy-mm-dd hh:mm"))</f>
        <v/>
      </c>
      <c r="H5" s="5" t="n">
        <v>72</v>
      </c>
      <c r="I5" s="5" t="inlineStr"/>
      <c r="J5" s="5">
        <f>IF(E5="No","Not required",IF(I5&lt;&gt;"","Done",IF(F5="","",IF(NOW()&gt;F5+H5/24,"Overdue","Open"))))</f>
        <v/>
      </c>
      <c r="K5" s="5" t="inlineStr">
        <is>
          <t>[Privacy and Legal Lead]</t>
        </is>
      </c>
      <c r="L5" s="5" t="inlineStr">
        <is>
          <t>Encrypted, wiped remotely; no risk to individuals. Decision recorded.</t>
        </is>
      </c>
    </row>
    <row r="6">
      <c r="A6" s="5" t="inlineStr">
        <is>
          <t>NOT-002</t>
        </is>
      </c>
      <c r="B6" s="5" t="inlineStr">
        <is>
          <t>INC-2026-004</t>
        </is>
      </c>
      <c r="C6" s="5" t="inlineStr">
        <is>
          <t>Affected enterprise customers</t>
        </is>
      </c>
      <c r="D6" s="5" t="inlineStr">
        <is>
          <t>DPA clause 9 (48 h)</t>
        </is>
      </c>
      <c r="E6" s="5" t="inlineStr">
        <is>
          <t>No</t>
        </is>
      </c>
      <c r="F6" s="11" t="n">
        <v>46126.47222222222</v>
      </c>
      <c r="G6" s="5">
        <f>IF(OR(F6="",H6=""),"",TEXT(F6+H6/24,"yyyy-mm-dd hh:mm"))</f>
        <v/>
      </c>
      <c r="H6" s="5" t="n">
        <v>48</v>
      </c>
      <c r="I6" s="5" t="inlineStr"/>
      <c r="J6" s="5">
        <f>IF(E6="No","Not required",IF(I6&lt;&gt;"","Done",IF(F6="","",IF(NOW()&gt;F6+H6/24,"Overdue","Open"))))</f>
        <v/>
      </c>
      <c r="K6" s="5" t="inlineStr">
        <is>
          <t>[Privacy and Legal Lead]</t>
        </is>
      </c>
      <c r="L6" s="5" t="inlineStr">
        <is>
          <t>Synthetic test data only; no customer data involved.</t>
        </is>
      </c>
    </row>
    <row r="7">
      <c r="A7" s="5" t="inlineStr">
        <is>
          <t>NOT-003</t>
        </is>
      </c>
      <c r="B7" s="5" t="inlineStr">
        <is>
          <t>INC-2026-006</t>
        </is>
      </c>
      <c r="C7" s="5" t="inlineStr">
        <is>
          <t>All Canvas customers (status page)</t>
        </is>
      </c>
      <c r="D7" s="5" t="inlineStr">
        <is>
          <t>Service terms</t>
        </is>
      </c>
      <c r="E7" s="5" t="inlineStr">
        <is>
          <t>Yes</t>
        </is>
      </c>
      <c r="F7" s="11" t="n">
        <v>46197.33680555555</v>
      </c>
      <c r="G7" s="5">
        <f>IF(OR(F7="",H7=""),"",TEXT(F7+H7/24,"yyyy-mm-dd hh:mm"))</f>
        <v/>
      </c>
      <c r="H7" s="5" t="n">
        <v>1</v>
      </c>
      <c r="I7" s="11" t="n">
        <v>46197.35416666666</v>
      </c>
      <c r="J7" s="5">
        <f>IF(E7="No","Not required",IF(I7&lt;&gt;"","Done",IF(F7="","",IF(NOW()&gt;F7+H7/24,"Overdue","Open"))))</f>
        <v/>
      </c>
      <c r="K7" s="5" t="inlineStr">
        <is>
          <t>[Creative Director]</t>
        </is>
      </c>
      <c r="L7" s="5" t="inlineStr">
        <is>
          <t>Status page + email.</t>
        </is>
      </c>
    </row>
    <row r="8">
      <c r="A8" s="5" t="inlineStr">
        <is>
          <t>NOT-004</t>
        </is>
      </c>
      <c r="B8" s="5" t="inlineStr">
        <is>
          <t>INC-2026-007</t>
        </is>
      </c>
      <c r="C8" s="5" t="inlineStr">
        <is>
          <t>Affected customer</t>
        </is>
      </c>
      <c r="D8" s="5" t="inlineStr">
        <is>
          <t>Customer agreement; IMS-PRO-005 s.7</t>
        </is>
      </c>
      <c r="E8" s="5" t="inlineStr">
        <is>
          <t>Yes</t>
        </is>
      </c>
      <c r="F8" s="11" t="n">
        <v>46251.40277777778</v>
      </c>
      <c r="G8" s="5">
        <f>IF(OR(F8="",H8=""),"",TEXT(F8+H8/24,"yyyy-mm-dd hh:mm"))</f>
        <v/>
      </c>
      <c r="H8" s="5" t="n">
        <v>48</v>
      </c>
      <c r="I8" s="11" t="n">
        <v>46251.625</v>
      </c>
      <c r="J8" s="5">
        <f>IF(E8="No","Not required",IF(I8&lt;&gt;"","Done",IF(F8="","",IF(NOW()&gt;F8+H8/24,"Overdue","Open"))))</f>
        <v/>
      </c>
      <c r="K8" s="5" t="inlineStr">
        <is>
          <t>[Creative Director]</t>
        </is>
      </c>
      <c r="L8" s="5" t="inlineStr">
        <is>
          <t>Customer confirmed image not published; agreed to delete it.</t>
        </is>
      </c>
    </row>
    <row r="9">
      <c r="A9" s="5" t="inlineStr">
        <is>
          <t>NOT-005</t>
        </is>
      </c>
      <c r="B9" s="5" t="inlineStr">
        <is>
          <t>INC-2026-007</t>
        </is>
      </c>
      <c r="C9" s="5" t="inlineStr">
        <is>
          <t>SafeFrame vendor</t>
        </is>
      </c>
      <c r="D9" s="5" t="inlineStr">
        <is>
          <t>Supplier agreement</t>
        </is>
      </c>
      <c r="E9" s="5" t="inlineStr">
        <is>
          <t>Yes</t>
        </is>
      </c>
      <c r="F9" s="11" t="n">
        <v>46251.40277777778</v>
      </c>
      <c r="G9" s="5">
        <f>IF(OR(F9="",H9=""),"",TEXT(F9+H9/24,"yyyy-mm-dd hh:mm"))</f>
        <v/>
      </c>
      <c r="H9" s="5" t="n">
        <v>24</v>
      </c>
      <c r="I9" s="11" t="n">
        <v>46251.45833333334</v>
      </c>
      <c r="J9" s="5">
        <f>IF(E9="No","Not required",IF(I9&lt;&gt;"","Done",IF(F9="","",IF(NOW()&gt;F9+H9/24,"Overdue","Open"))))</f>
        <v/>
      </c>
      <c r="K9" s="5" t="inlineStr">
        <is>
          <t>[Privacy and Legal Lead]</t>
        </is>
      </c>
      <c r="L9" s="5" t="inlineStr">
        <is>
          <t>Requested written root-cause explanation (received 2026-08-25).</t>
        </is>
      </c>
    </row>
    <row r="10">
      <c r="A10" s="5" t="inlineStr">
        <is>
          <t>NOT-006</t>
        </is>
      </c>
      <c r="B10" s="5" t="inlineStr">
        <is>
          <t>INC-2026-007</t>
        </is>
      </c>
      <c r="C10" s="5" t="inlineStr">
        <is>
          <t>EU / UAE data-protection authorities</t>
        </is>
      </c>
      <c r="D10" s="5" t="inlineStr">
        <is>
          <t>GDPR Art. 33; UAE PDPL</t>
        </is>
      </c>
      <c r="E10" s="5" t="inlineStr">
        <is>
          <t>No</t>
        </is>
      </c>
      <c r="F10" s="11" t="n">
        <v>46251.40277777778</v>
      </c>
      <c r="G10" s="5">
        <f>IF(OR(F10="",H10=""),"",TEXT(F10+H10/24,"yyyy-mm-dd hh:mm"))</f>
        <v/>
      </c>
      <c r="H10" s="5" t="n">
        <v>72</v>
      </c>
      <c r="I10" s="5" t="inlineStr"/>
      <c r="J10" s="5">
        <f>IF(E10="No","Not required",IF(I10&lt;&gt;"","Done",IF(F10="","",IF(NOW()&gt;F10+H10/24,"Overdue","Open"))))</f>
        <v/>
      </c>
      <c r="K10" s="5" t="inlineStr">
        <is>
          <t>[Privacy and Legal Lead]</t>
        </is>
      </c>
      <c r="L10" s="5" t="inlineStr">
        <is>
          <t>No breach of data we hold; image labelled and unpublished. Reasoning recorded.</t>
        </is>
      </c>
    </row>
    <row r="11">
      <c r="A11" s="5" t="inlineStr">
        <is>
          <t>NOT-007</t>
        </is>
      </c>
      <c r="B11" s="5" t="inlineStr">
        <is>
          <t>INC-2026-007</t>
        </is>
      </c>
      <c r="C11" s="5" t="inlineStr">
        <is>
          <t>EU AI Act market surveillance authority</t>
        </is>
      </c>
      <c r="D11" s="5" t="inlineStr">
        <is>
          <t>EU AI Act Art. 73</t>
        </is>
      </c>
      <c r="E11" s="5" t="inlineStr">
        <is>
          <t>No</t>
        </is>
      </c>
      <c r="F11" s="11" t="n">
        <v>46251.40277777778</v>
      </c>
      <c r="G11" s="5">
        <f>IF(OR(F11="",H11=""),"",TEXT(F11+H11/24,"yyyy-mm-dd hh:mm"))</f>
        <v/>
      </c>
      <c r="H11" s="5" t="n">
        <v>360</v>
      </c>
      <c r="I11" s="5" t="inlineStr"/>
      <c r="J11" s="5">
        <f>IF(E11="No","Not required",IF(I11&lt;&gt;"","Done",IF(F11="","",IF(NOW()&gt;F11+H11/24,"Overdue","Open"))))</f>
        <v/>
      </c>
      <c r="K11" s="5" t="inlineStr">
        <is>
          <t>[Head of AI]</t>
        </is>
      </c>
      <c r="L11" s="5" t="inlineStr">
        <is>
          <t>StoryFrame is not a high-risk AI system; Art. 73 does not apply.</t>
        </is>
      </c>
    </row>
    <row r="12">
      <c r="A12" s="5" t="inlineStr">
        <is>
          <t>NOT-008</t>
        </is>
      </c>
      <c r="B12" s="5" t="inlineStr">
        <is>
          <t>INC-2026-009</t>
        </is>
      </c>
      <c r="C12" s="5" t="inlineStr">
        <is>
          <t>Artist (data subject)</t>
        </is>
      </c>
      <c r="D12" s="5" t="inlineStr">
        <is>
          <t>GDPR Art. 21 objection; Artist Agreement</t>
        </is>
      </c>
      <c r="E12" s="5" t="inlineStr">
        <is>
          <t>Yes</t>
        </is>
      </c>
      <c r="F12" s="11" t="n">
        <v>46287.41666666666</v>
      </c>
      <c r="G12" s="5">
        <f>IF(OR(F12="",H12=""),"",TEXT(F12+H12/24,"yyyy-mm-dd hh:mm"))</f>
        <v/>
      </c>
      <c r="H12" s="5" t="n">
        <v>72</v>
      </c>
      <c r="I12" s="11" t="n">
        <v>46288.375</v>
      </c>
      <c r="J12" s="5">
        <f>IF(E12="No","Not required",IF(I12&lt;&gt;"","Done",IF(F12="","",IF(NOW()&gt;F12+H12/24,"Overdue","Open"))))</f>
        <v/>
      </c>
      <c r="K12" s="5" t="inlineStr">
        <is>
          <t>[Data and ML Lead]</t>
        </is>
      </c>
      <c r="L12" s="5" t="inlineStr">
        <is>
          <t>Confirmation of opt-out and apology sent.</t>
        </is>
      </c>
    </row>
    <row r="13">
      <c r="A13" s="5" t="inlineStr">
        <is>
          <t>NOT-009</t>
        </is>
      </c>
      <c r="B13" s="12" t="inlineStr">
        <is>
          <t>[INC-YYYY-NNN]</t>
        </is>
      </c>
      <c r="C13" s="12" t="inlineStr">
        <is>
          <t>[recipient]</t>
        </is>
      </c>
      <c r="D13" s="12" t="inlineStr">
        <is>
          <t>[law or contract]</t>
        </is>
      </c>
      <c r="E13" s="12" t="inlineStr">
        <is>
          <t>[Yes/No]</t>
        </is>
      </c>
      <c r="F13" s="5" t="inlineStr"/>
      <c r="G13" s="5">
        <f>IF(OR(F13="",H13=""),"",TEXT(F13+H13/24,"yyyy-mm-dd hh:mm"))</f>
        <v/>
      </c>
      <c r="H13" s="5" t="inlineStr"/>
      <c r="I13" s="5" t="inlineStr"/>
      <c r="J13" s="5">
        <f>IF(E13="No","Not required",IF(I13&lt;&gt;"","Done",IF(F13="","",IF(NOW()&gt;F13+H13/24,"Overdue","Open"))))</f>
        <v/>
      </c>
      <c r="K13" s="12" t="inlineStr">
        <is>
          <t>[owner]</t>
        </is>
      </c>
      <c r="L13" s="12" t="inlineStr">
        <is>
          <t>[notes]</t>
        </is>
      </c>
    </row>
    <row r="14">
      <c r="A14" s="5" t="n"/>
      <c r="B14" s="5" t="n"/>
      <c r="C14" s="5" t="n"/>
      <c r="D14" s="5" t="n"/>
      <c r="E14" s="5" t="n"/>
      <c r="F14" s="5" t="n"/>
      <c r="G14" s="5">
        <f>IF(OR(F14="",H14=""),"",TEXT(F14+H14/24,"yyyy-mm-dd hh:mm"))</f>
        <v/>
      </c>
      <c r="H14" s="5" t="n"/>
      <c r="I14" s="5" t="n"/>
      <c r="J14" s="5">
        <f>IF(E14="No","Not required",IF(I14&lt;&gt;"","Done",IF(F14="","",IF(NOW()&gt;F14+H14/24,"Overdue","Open"))))</f>
        <v/>
      </c>
      <c r="K14" s="5" t="n"/>
      <c r="L14" s="5" t="n"/>
    </row>
    <row r="15">
      <c r="A15" s="5" t="n"/>
      <c r="B15" s="5" t="n"/>
      <c r="C15" s="5" t="n"/>
      <c r="D15" s="5" t="n"/>
      <c r="E15" s="5" t="n"/>
      <c r="F15" s="5" t="n"/>
      <c r="G15" s="5">
        <f>IF(OR(F15="",H15=""),"",TEXT(F15+H15/24,"yyyy-mm-dd hh:mm"))</f>
        <v/>
      </c>
      <c r="H15" s="5" t="n"/>
      <c r="I15" s="5" t="n"/>
      <c r="J15" s="5">
        <f>IF(E15="No","Not required",IF(I15&lt;&gt;"","Done",IF(F15="","",IF(NOW()&gt;F15+H15/24,"Overdue","Open"))))</f>
        <v/>
      </c>
      <c r="K15" s="5" t="n"/>
      <c r="L15" s="5" t="n"/>
    </row>
    <row r="16">
      <c r="A16" s="5" t="n"/>
      <c r="B16" s="5" t="n"/>
      <c r="C16" s="5" t="n"/>
      <c r="D16" s="5" t="n"/>
      <c r="E16" s="5" t="n"/>
      <c r="F16" s="5" t="n"/>
      <c r="G16" s="5">
        <f>IF(OR(F16="",H16=""),"",TEXT(F16+H16/24,"yyyy-mm-dd hh:mm"))</f>
        <v/>
      </c>
      <c r="H16" s="5" t="n"/>
      <c r="I16" s="5" t="n"/>
      <c r="J16" s="5">
        <f>IF(E16="No","Not required",IF(I16&lt;&gt;"","Done",IF(F16="","",IF(NOW()&gt;F16+H16/24,"Overdue","Open"))))</f>
        <v/>
      </c>
      <c r="K16" s="5" t="n"/>
      <c r="L16" s="5" t="n"/>
    </row>
    <row r="17">
      <c r="A17" s="5" t="n"/>
      <c r="B17" s="5" t="n"/>
      <c r="C17" s="5" t="n"/>
      <c r="D17" s="5" t="n"/>
      <c r="E17" s="5" t="n"/>
      <c r="F17" s="5" t="n"/>
      <c r="G17" s="5">
        <f>IF(OR(F17="",H17=""),"",TEXT(F17+H17/24,"yyyy-mm-dd hh:mm"))</f>
        <v/>
      </c>
      <c r="H17" s="5" t="n"/>
      <c r="I17" s="5" t="n"/>
      <c r="J17" s="5">
        <f>IF(E17="No","Not required",IF(I17&lt;&gt;"","Done",IF(F17="","",IF(NOW()&gt;F17+H17/24,"Overdue","Open"))))</f>
        <v/>
      </c>
      <c r="K17" s="5" t="n"/>
      <c r="L17" s="5" t="n"/>
    </row>
    <row r="18">
      <c r="A18" s="5" t="n"/>
      <c r="B18" s="5" t="n"/>
      <c r="C18" s="5" t="n"/>
      <c r="D18" s="5" t="n"/>
      <c r="E18" s="5" t="n"/>
      <c r="F18" s="5" t="n"/>
      <c r="G18" s="5">
        <f>IF(OR(F18="",H18=""),"",TEXT(F18+H18/24,"yyyy-mm-dd hh:mm"))</f>
        <v/>
      </c>
      <c r="H18" s="5" t="n"/>
      <c r="I18" s="5" t="n"/>
      <c r="J18" s="5">
        <f>IF(E18="No","Not required",IF(I18&lt;&gt;"","Done",IF(F18="","",IF(NOW()&gt;F18+H18/24,"Overdue","Open"))))</f>
        <v/>
      </c>
      <c r="K18" s="5" t="n"/>
      <c r="L18" s="5" t="n"/>
    </row>
    <row r="19">
      <c r="A19" s="5" t="n"/>
      <c r="B19" s="5" t="n"/>
      <c r="C19" s="5" t="n"/>
      <c r="D19" s="5" t="n"/>
      <c r="E19" s="5" t="n"/>
      <c r="F19" s="5" t="n"/>
      <c r="G19" s="5">
        <f>IF(OR(F19="",H19=""),"",TEXT(F19+H19/24,"yyyy-mm-dd hh:mm"))</f>
        <v/>
      </c>
      <c r="H19" s="5" t="n"/>
      <c r="I19" s="5" t="n"/>
      <c r="J19" s="5">
        <f>IF(E19="No","Not required",IF(I19&lt;&gt;"","Done",IF(F19="","",IF(NOW()&gt;F19+H19/24,"Overdue","Open"))))</f>
        <v/>
      </c>
      <c r="K19" s="5" t="n"/>
      <c r="L19" s="5" t="n"/>
    </row>
    <row r="20">
      <c r="A20" s="5" t="n"/>
      <c r="B20" s="5" t="n"/>
      <c r="C20" s="5" t="n"/>
      <c r="D20" s="5" t="n"/>
      <c r="E20" s="5" t="n"/>
      <c r="F20" s="5" t="n"/>
      <c r="G20" s="5">
        <f>IF(OR(F20="",H20=""),"",TEXT(F20+H20/24,"yyyy-mm-dd hh:mm"))</f>
        <v/>
      </c>
      <c r="H20" s="5" t="n"/>
      <c r="I20" s="5" t="n"/>
      <c r="J20" s="5">
        <f>IF(E20="No","Not required",IF(I20&lt;&gt;"","Done",IF(F20="","",IF(NOW()&gt;F20+H20/24,"Overdue","Open"))))</f>
        <v/>
      </c>
      <c r="K20" s="5" t="n"/>
      <c r="L20" s="5" t="n"/>
    </row>
    <row r="21">
      <c r="A21" s="5" t="n"/>
      <c r="B21" s="5" t="n"/>
      <c r="C21" s="5" t="n"/>
      <c r="D21" s="5" t="n"/>
      <c r="E21" s="5" t="n"/>
      <c r="F21" s="5" t="n"/>
      <c r="G21" s="5">
        <f>IF(OR(F21="",H21=""),"",TEXT(F21+H21/24,"yyyy-mm-dd hh:mm"))</f>
        <v/>
      </c>
      <c r="H21" s="5" t="n"/>
      <c r="I21" s="5" t="n"/>
      <c r="J21" s="5">
        <f>IF(E21="No","Not required",IF(I21&lt;&gt;"","Done",IF(F21="","",IF(NOW()&gt;F21+H21/24,"Overdue","Open"))))</f>
        <v/>
      </c>
      <c r="K21" s="5" t="n"/>
      <c r="L21" s="5" t="n"/>
    </row>
    <row r="22">
      <c r="A22" s="5" t="n"/>
      <c r="B22" s="5" t="n"/>
      <c r="C22" s="5" t="n"/>
      <c r="D22" s="5" t="n"/>
      <c r="E22" s="5" t="n"/>
      <c r="F22" s="5" t="n"/>
      <c r="G22" s="5">
        <f>IF(OR(F22="",H22=""),"",TEXT(F22+H22/24,"yyyy-mm-dd hh:mm"))</f>
        <v/>
      </c>
      <c r="H22" s="5" t="n"/>
      <c r="I22" s="5" t="n"/>
      <c r="J22" s="5">
        <f>IF(E22="No","Not required",IF(I22&lt;&gt;"","Done",IF(F22="","",IF(NOW()&gt;F22+H22/24,"Overdue","Open"))))</f>
        <v/>
      </c>
      <c r="K22" s="5" t="n"/>
      <c r="L22" s="5" t="n"/>
    </row>
    <row r="23">
      <c r="A23" s="5" t="n"/>
      <c r="B23" s="5" t="n"/>
      <c r="C23" s="5" t="n"/>
      <c r="D23" s="5" t="n"/>
      <c r="E23" s="5" t="n"/>
      <c r="F23" s="5" t="n"/>
      <c r="G23" s="5">
        <f>IF(OR(F23="",H23=""),"",TEXT(F23+H23/24,"yyyy-mm-dd hh:mm"))</f>
        <v/>
      </c>
      <c r="H23" s="5" t="n"/>
      <c r="I23" s="5" t="n"/>
      <c r="J23" s="5">
        <f>IF(E23="No","Not required",IF(I23&lt;&gt;"","Done",IF(F23="","",IF(NOW()&gt;F23+H23/24,"Overdue","Open"))))</f>
        <v/>
      </c>
      <c r="K23" s="5" t="n"/>
      <c r="L23" s="5" t="n"/>
    </row>
    <row r="24">
      <c r="A24" s="5" t="n"/>
      <c r="B24" s="5" t="n"/>
      <c r="C24" s="5" t="n"/>
      <c r="D24" s="5" t="n"/>
      <c r="E24" s="5" t="n"/>
      <c r="F24" s="5" t="n"/>
      <c r="G24" s="5">
        <f>IF(OR(F24="",H24=""),"",TEXT(F24+H24/24,"yyyy-mm-dd hh:mm"))</f>
        <v/>
      </c>
      <c r="H24" s="5" t="n"/>
      <c r="I24" s="5" t="n"/>
      <c r="J24" s="5">
        <f>IF(E24="No","Not required",IF(I24&lt;&gt;"","Done",IF(F24="","",IF(NOW()&gt;F24+H24/24,"Overdue","Open"))))</f>
        <v/>
      </c>
      <c r="K24" s="5" t="n"/>
      <c r="L24" s="5" t="n"/>
    </row>
    <row r="25">
      <c r="A25" s="5" t="n"/>
      <c r="B25" s="5" t="n"/>
      <c r="C25" s="5" t="n"/>
      <c r="D25" s="5" t="n"/>
      <c r="E25" s="5" t="n"/>
      <c r="F25" s="5" t="n"/>
      <c r="G25" s="5">
        <f>IF(OR(F25="",H25=""),"",TEXT(F25+H25/24,"yyyy-mm-dd hh:mm"))</f>
        <v/>
      </c>
      <c r="H25" s="5" t="n"/>
      <c r="I25" s="5" t="n"/>
      <c r="J25" s="5">
        <f>IF(E25="No","Not required",IF(I25&lt;&gt;"","Done",IF(F25="","",IF(NOW()&gt;F25+H25/24,"Overdue","Open"))))</f>
        <v/>
      </c>
      <c r="K25" s="5" t="n"/>
      <c r="L25" s="5" t="n"/>
    </row>
    <row r="26">
      <c r="A26" s="5" t="n"/>
      <c r="B26" s="5" t="n"/>
      <c r="C26" s="5" t="n"/>
      <c r="D26" s="5" t="n"/>
      <c r="E26" s="5" t="n"/>
      <c r="F26" s="5" t="n"/>
      <c r="G26" s="5">
        <f>IF(OR(F26="",H26=""),"",TEXT(F26+H26/24,"yyyy-mm-dd hh:mm"))</f>
        <v/>
      </c>
      <c r="H26" s="5" t="n"/>
      <c r="I26" s="5" t="n"/>
      <c r="J26" s="5">
        <f>IF(E26="No","Not required",IF(I26&lt;&gt;"","Done",IF(F26="","",IF(NOW()&gt;F26+H26/24,"Overdue","Open"))))</f>
        <v/>
      </c>
      <c r="K26" s="5" t="n"/>
      <c r="L26" s="5" t="n"/>
    </row>
    <row r="27">
      <c r="A27" s="5" t="n"/>
      <c r="B27" s="5" t="n"/>
      <c r="C27" s="5" t="n"/>
      <c r="D27" s="5" t="n"/>
      <c r="E27" s="5" t="n"/>
      <c r="F27" s="5" t="n"/>
      <c r="G27" s="5">
        <f>IF(OR(F27="",H27=""),"",TEXT(F27+H27/24,"yyyy-mm-dd hh:mm"))</f>
        <v/>
      </c>
      <c r="H27" s="5" t="n"/>
      <c r="I27" s="5" t="n"/>
      <c r="J27" s="5">
        <f>IF(E27="No","Not required",IF(I27&lt;&gt;"","Done",IF(F27="","",IF(NOW()&gt;F27+H27/24,"Overdue","Open"))))</f>
        <v/>
      </c>
      <c r="K27" s="5" t="n"/>
      <c r="L27" s="5" t="n"/>
    </row>
    <row r="28">
      <c r="A28" s="5" t="n"/>
      <c r="B28" s="5" t="n"/>
      <c r="C28" s="5" t="n"/>
      <c r="D28" s="5" t="n"/>
      <c r="E28" s="5" t="n"/>
      <c r="F28" s="5" t="n"/>
      <c r="G28" s="5">
        <f>IF(OR(F28="",H28=""),"",TEXT(F28+H28/24,"yyyy-mm-dd hh:mm"))</f>
        <v/>
      </c>
      <c r="H28" s="5" t="n"/>
      <c r="I28" s="5" t="n"/>
      <c r="J28" s="5">
        <f>IF(E28="No","Not required",IF(I28&lt;&gt;"","Done",IF(F28="","",IF(NOW()&gt;F28+H28/24,"Overdue","Open"))))</f>
        <v/>
      </c>
      <c r="K28" s="5" t="n"/>
      <c r="L28" s="5" t="n"/>
    </row>
    <row r="29">
      <c r="A29" s="5" t="n"/>
      <c r="B29" s="5" t="n"/>
      <c r="C29" s="5" t="n"/>
      <c r="D29" s="5" t="n"/>
      <c r="E29" s="5" t="n"/>
      <c r="F29" s="5" t="n"/>
      <c r="G29" s="5">
        <f>IF(OR(F29="",H29=""),"",TEXT(F29+H29/24,"yyyy-mm-dd hh:mm"))</f>
        <v/>
      </c>
      <c r="H29" s="5" t="n"/>
      <c r="I29" s="5" t="n"/>
      <c r="J29" s="5">
        <f>IF(E29="No","Not required",IF(I29&lt;&gt;"","Done",IF(F29="","",IF(NOW()&gt;F29+H29/24,"Overdue","Open"))))</f>
        <v/>
      </c>
      <c r="K29" s="5" t="n"/>
      <c r="L29" s="5" t="n"/>
    </row>
    <row r="30">
      <c r="A30" s="5" t="n"/>
      <c r="B30" s="5" t="n"/>
      <c r="C30" s="5" t="n"/>
      <c r="D30" s="5" t="n"/>
      <c r="E30" s="5" t="n"/>
      <c r="F30" s="5" t="n"/>
      <c r="G30" s="5">
        <f>IF(OR(F30="",H30=""),"",TEXT(F30+H30/24,"yyyy-mm-dd hh:mm"))</f>
        <v/>
      </c>
      <c r="H30" s="5" t="n"/>
      <c r="I30" s="5" t="n"/>
      <c r="J30" s="5">
        <f>IF(E30="No","Not required",IF(I30&lt;&gt;"","Done",IF(F30="","",IF(NOW()&gt;F30+H30/24,"Overdue","Open"))))</f>
        <v/>
      </c>
      <c r="K30" s="5" t="n"/>
      <c r="L30" s="5" t="n"/>
    </row>
    <row r="31">
      <c r="A31" s="5" t="n"/>
      <c r="B31" s="5" t="n"/>
      <c r="C31" s="5" t="n"/>
      <c r="D31" s="5" t="n"/>
      <c r="E31" s="5" t="n"/>
      <c r="F31" s="5" t="n"/>
      <c r="G31" s="5">
        <f>IF(OR(F31="",H31=""),"",TEXT(F31+H31/24,"yyyy-mm-dd hh:mm"))</f>
        <v/>
      </c>
      <c r="H31" s="5" t="n"/>
      <c r="I31" s="5" t="n"/>
      <c r="J31" s="5">
        <f>IF(E31="No","Not required",IF(I31&lt;&gt;"","Done",IF(F31="","",IF(NOW()&gt;F31+H31/24,"Overdue","Open"))))</f>
        <v/>
      </c>
      <c r="K31" s="5" t="n"/>
      <c r="L31" s="5" t="n"/>
    </row>
    <row r="32">
      <c r="A32" s="5" t="n"/>
      <c r="B32" s="5" t="n"/>
      <c r="C32" s="5" t="n"/>
      <c r="D32" s="5" t="n"/>
      <c r="E32" s="5" t="n"/>
      <c r="F32" s="5" t="n"/>
      <c r="G32" s="5">
        <f>IF(OR(F32="",H32=""),"",TEXT(F32+H32/24,"yyyy-mm-dd hh:mm"))</f>
        <v/>
      </c>
      <c r="H32" s="5" t="n"/>
      <c r="I32" s="5" t="n"/>
      <c r="J32" s="5">
        <f>IF(E32="No","Not required",IF(I32&lt;&gt;"","Done",IF(F32="","",IF(NOW()&gt;F32+H32/24,"Overdue","Open"))))</f>
        <v/>
      </c>
      <c r="K32" s="5" t="n"/>
      <c r="L32" s="5" t="n"/>
    </row>
    <row r="33">
      <c r="A33" s="5" t="n"/>
      <c r="B33" s="5" t="n"/>
      <c r="C33" s="5" t="n"/>
      <c r="D33" s="5" t="n"/>
      <c r="E33" s="5" t="n"/>
      <c r="F33" s="5" t="n"/>
      <c r="G33" s="5">
        <f>IF(OR(F33="",H33=""),"",TEXT(F33+H33/24,"yyyy-mm-dd hh:mm"))</f>
        <v/>
      </c>
      <c r="H33" s="5" t="n"/>
      <c r="I33" s="5" t="n"/>
      <c r="J33" s="5">
        <f>IF(E33="No","Not required",IF(I33&lt;&gt;"","Done",IF(F33="","",IF(NOW()&gt;F33+H33/24,"Overdue","Open"))))</f>
        <v/>
      </c>
      <c r="K33" s="5" t="n"/>
      <c r="L33" s="5" t="n"/>
    </row>
    <row r="34">
      <c r="A34" s="5" t="n"/>
      <c r="B34" s="5" t="n"/>
      <c r="C34" s="5" t="n"/>
      <c r="D34" s="5" t="n"/>
      <c r="E34" s="5" t="n"/>
      <c r="F34" s="5" t="n"/>
      <c r="G34" s="5">
        <f>IF(OR(F34="",H34=""),"",TEXT(F34+H34/24,"yyyy-mm-dd hh:mm"))</f>
        <v/>
      </c>
      <c r="H34" s="5" t="n"/>
      <c r="I34" s="5" t="n"/>
      <c r="J34" s="5">
        <f>IF(E34="No","Not required",IF(I34&lt;&gt;"","Done",IF(F34="","",IF(NOW()&gt;F34+H34/24,"Overdue","Open"))))</f>
        <v/>
      </c>
      <c r="K34" s="5" t="n"/>
      <c r="L34" s="5" t="n"/>
    </row>
    <row r="35">
      <c r="A35" s="5" t="n"/>
      <c r="B35" s="5" t="n"/>
      <c r="C35" s="5" t="n"/>
      <c r="D35" s="5" t="n"/>
      <c r="E35" s="5" t="n"/>
      <c r="F35" s="5" t="n"/>
      <c r="G35" s="5">
        <f>IF(OR(F35="",H35=""),"",TEXT(F35+H35/24,"yyyy-mm-dd hh:mm"))</f>
        <v/>
      </c>
      <c r="H35" s="5" t="n"/>
      <c r="I35" s="5" t="n"/>
      <c r="J35" s="5">
        <f>IF(E35="No","Not required",IF(I35&lt;&gt;"","Done",IF(F35="","",IF(NOW()&gt;F35+H35/24,"Overdue","Open"))))</f>
        <v/>
      </c>
      <c r="K35" s="5" t="n"/>
      <c r="L35" s="5" t="n"/>
    </row>
    <row r="36">
      <c r="A36" s="5" t="n"/>
      <c r="B36" s="5" t="n"/>
      <c r="C36" s="5" t="n"/>
      <c r="D36" s="5" t="n"/>
      <c r="E36" s="5" t="n"/>
      <c r="F36" s="5" t="n"/>
      <c r="G36" s="5">
        <f>IF(OR(F36="",H36=""),"",TEXT(F36+H36/24,"yyyy-mm-dd hh:mm"))</f>
        <v/>
      </c>
      <c r="H36" s="5" t="n"/>
      <c r="I36" s="5" t="n"/>
      <c r="J36" s="5">
        <f>IF(E36="No","Not required",IF(I36&lt;&gt;"","Done",IF(F36="","",IF(NOW()&gt;F36+H36/24,"Overdue","Open"))))</f>
        <v/>
      </c>
      <c r="K36" s="5" t="n"/>
      <c r="L36" s="5" t="n"/>
    </row>
    <row r="37">
      <c r="A37" s="5" t="n"/>
      <c r="B37" s="5" t="n"/>
      <c r="C37" s="5" t="n"/>
      <c r="D37" s="5" t="n"/>
      <c r="E37" s="5" t="n"/>
      <c r="F37" s="5" t="n"/>
      <c r="G37" s="5">
        <f>IF(OR(F37="",H37=""),"",TEXT(F37+H37/24,"yyyy-mm-dd hh:mm"))</f>
        <v/>
      </c>
      <c r="H37" s="5" t="n"/>
      <c r="I37" s="5" t="n"/>
      <c r="J37" s="5">
        <f>IF(E37="No","Not required",IF(I37&lt;&gt;"","Done",IF(F37="","",IF(NOW()&gt;F37+H37/24,"Overdue","Open"))))</f>
        <v/>
      </c>
      <c r="K37" s="5" t="n"/>
      <c r="L37" s="5" t="n"/>
    </row>
    <row r="38">
      <c r="A38" s="5" t="n"/>
      <c r="B38" s="5" t="n"/>
      <c r="C38" s="5" t="n"/>
      <c r="D38" s="5" t="n"/>
      <c r="E38" s="5" t="n"/>
      <c r="F38" s="5" t="n"/>
      <c r="G38" s="5">
        <f>IF(OR(F38="",H38=""),"",TEXT(F38+H38/24,"yyyy-mm-dd hh:mm"))</f>
        <v/>
      </c>
      <c r="H38" s="5" t="n"/>
      <c r="I38" s="5" t="n"/>
      <c r="J38" s="5">
        <f>IF(E38="No","Not required",IF(I38&lt;&gt;"","Done",IF(F38="","",IF(NOW()&gt;F38+H38/24,"Overdue","Open"))))</f>
        <v/>
      </c>
      <c r="K38" s="5" t="n"/>
      <c r="L38" s="5" t="n"/>
    </row>
    <row r="39">
      <c r="A39" s="5" t="n"/>
      <c r="B39" s="5" t="n"/>
      <c r="C39" s="5" t="n"/>
      <c r="D39" s="5" t="n"/>
      <c r="E39" s="5" t="n"/>
      <c r="F39" s="5" t="n"/>
      <c r="G39" s="5">
        <f>IF(OR(F39="",H39=""),"",TEXT(F39+H39/24,"yyyy-mm-dd hh:mm"))</f>
        <v/>
      </c>
      <c r="H39" s="5" t="n"/>
      <c r="I39" s="5" t="n"/>
      <c r="J39" s="5">
        <f>IF(E39="No","Not required",IF(I39&lt;&gt;"","Done",IF(F39="","",IF(NOW()&gt;F39+H39/24,"Overdue","Open"))))</f>
        <v/>
      </c>
      <c r="K39" s="5" t="n"/>
      <c r="L39" s="5" t="n"/>
    </row>
    <row r="40">
      <c r="A40" s="5" t="n"/>
      <c r="B40" s="5" t="n"/>
      <c r="C40" s="5" t="n"/>
      <c r="D40" s="5" t="n"/>
      <c r="E40" s="5" t="n"/>
      <c r="F40" s="5" t="n"/>
      <c r="G40" s="5">
        <f>IF(OR(F40="",H40=""),"",TEXT(F40+H40/24,"yyyy-mm-dd hh:mm"))</f>
        <v/>
      </c>
      <c r="H40" s="5" t="n"/>
      <c r="I40" s="5" t="n"/>
      <c r="J40" s="5">
        <f>IF(E40="No","Not required",IF(I40&lt;&gt;"","Done",IF(F40="","",IF(NOW()&gt;F40+H40/24,"Overdue","Open"))))</f>
        <v/>
      </c>
      <c r="K40" s="5" t="n"/>
      <c r="L40" s="5" t="n"/>
    </row>
    <row r="41">
      <c r="A41" s="5" t="n"/>
      <c r="B41" s="5" t="n"/>
      <c r="C41" s="5" t="n"/>
      <c r="D41" s="5" t="n"/>
      <c r="E41" s="5" t="n"/>
      <c r="F41" s="5" t="n"/>
      <c r="G41" s="5">
        <f>IF(OR(F41="",H41=""),"",TEXT(F41+H41/24,"yyyy-mm-dd hh:mm"))</f>
        <v/>
      </c>
      <c r="H41" s="5" t="n"/>
      <c r="I41" s="5" t="n"/>
      <c r="J41" s="5">
        <f>IF(E41="No","Not required",IF(I41&lt;&gt;"","Done",IF(F41="","",IF(NOW()&gt;F41+H41/24,"Overdue","Open"))))</f>
        <v/>
      </c>
      <c r="K41" s="5" t="n"/>
      <c r="L41" s="5" t="n"/>
    </row>
    <row r="42">
      <c r="A42" s="5" t="n"/>
      <c r="B42" s="5" t="n"/>
      <c r="C42" s="5" t="n"/>
      <c r="D42" s="5" t="n"/>
      <c r="E42" s="5" t="n"/>
      <c r="F42" s="5" t="n"/>
      <c r="G42" s="5">
        <f>IF(OR(F42="",H42=""),"",TEXT(F42+H42/24,"yyyy-mm-dd hh:mm"))</f>
        <v/>
      </c>
      <c r="H42" s="5" t="n"/>
      <c r="I42" s="5" t="n"/>
      <c r="J42" s="5">
        <f>IF(E42="No","Not required",IF(I42&lt;&gt;"","Done",IF(F42="","",IF(NOW()&gt;F42+H42/24,"Overdue","Open"))))</f>
        <v/>
      </c>
      <c r="K42" s="5" t="n"/>
      <c r="L42" s="5" t="n"/>
    </row>
    <row r="43">
      <c r="A43" s="5" t="n"/>
      <c r="B43" s="5" t="n"/>
      <c r="C43" s="5" t="n"/>
      <c r="D43" s="5" t="n"/>
      <c r="E43" s="5" t="n"/>
      <c r="F43" s="5" t="n"/>
      <c r="G43" s="5">
        <f>IF(OR(F43="",H43=""),"",TEXT(F43+H43/24,"yyyy-mm-dd hh:mm"))</f>
        <v/>
      </c>
      <c r="H43" s="5" t="n"/>
      <c r="I43" s="5" t="n"/>
      <c r="J43" s="5">
        <f>IF(E43="No","Not required",IF(I43&lt;&gt;"","Done",IF(F43="","",IF(NOW()&gt;F43+H43/24,"Overdue","Open"))))</f>
        <v/>
      </c>
      <c r="K43" s="5" t="n"/>
      <c r="L43" s="5" t="n"/>
    </row>
  </sheetData>
  <autoFilter ref="A4:L43"/>
  <mergeCells count="1">
    <mergeCell ref="A2:L2"/>
  </mergeCells>
  <conditionalFormatting sqref="J5:J43">
    <cfRule type="cellIs" priority="1" operator="equal" dxfId="0">
      <formula>"Implemented"</formula>
    </cfRule>
    <cfRule type="cellIs" priority="2" operator="equal" dxfId="0">
      <formula>"Done"</formula>
    </cfRule>
    <cfRule type="cellIs" priority="3" operator="equal" dxfId="0">
      <formula>"Closed"</formula>
    </cfRule>
    <cfRule type="cellIs" priority="4" operator="equal" dxfId="0">
      <formula>"Yes"</formula>
    </cfRule>
    <cfRule type="cellIs" priority="5" operator="equal" dxfId="0">
      <formula>"Met"</formula>
    </cfRule>
    <cfRule type="cellIs" priority="6" operator="equal" dxfId="1">
      <formula>"Partially implemented"</formula>
    </cfRule>
    <cfRule type="cellIs" priority="7" operator="equal" dxfId="1">
      <formula>"Partial"</formula>
    </cfRule>
    <cfRule type="cellIs" priority="8" operator="equal" dxfId="1">
      <formula>"Done late"</formula>
    </cfRule>
    <cfRule type="cellIs" priority="9" operator="equal" dxfId="1">
      <formula>"In progress"</formula>
    </cfRule>
    <cfRule type="cellIs" priority="10" operator="equal" dxfId="1">
      <formula>"Open"</formula>
    </cfRule>
    <cfRule type="cellIs" priority="11" operator="equal" dxfId="1">
      <formula>"On track"</formula>
    </cfRule>
    <cfRule type="cellIs" priority="12" operator="equal" dxfId="4">
      <formula>"Planned"</formula>
    </cfRule>
    <cfRule type="cellIs" priority="13" operator="equal" dxfId="5">
      <formula>"Not started"</formula>
    </cfRule>
    <cfRule type="cellIs" priority="14" operator="equal" dxfId="2">
      <formula>"Not implemented"</formula>
    </cfRule>
    <cfRule type="cellIs" priority="15" operator="equal" dxfId="2">
      <formula>"No"</formula>
    </cfRule>
    <cfRule type="cellIs" priority="16" operator="equal" dxfId="2">
      <formula>"Overdue"</formula>
    </cfRule>
    <cfRule type="cellIs" priority="17" operator="equal" dxfId="2">
      <formula>"Not met"</formula>
    </cfRule>
    <cfRule type="cellIs" priority="18" operator="equal" dxfId="6">
      <formula>"Excluded"</formula>
    </cfRule>
  </conditionalFormatting>
  <dataValidations count="1">
    <dataValidation sqref="E5:E43" showDropDown="0" showInputMessage="0" showErrorMessage="0" allowBlank="1" errorTitle="Invalid value" error="Pick a value from the list." type="list">
      <formula1>"Yes,No"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42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0" customWidth="1" min="2" max="2"/>
    <col width="55" customWidth="1" min="3" max="3"/>
    <col width="16" customWidth="1" min="4" max="4"/>
    <col width="12" customWidth="1" min="5" max="5"/>
    <col width="13" customWidth="1" min="6" max="6"/>
    <col width="22" customWidth="1" min="7" max="7"/>
  </cols>
  <sheetData>
    <row r="1">
      <c r="A1" s="8" t="inlineStr">
        <is>
          <t>Lessons learned and follow-up actions</t>
        </is>
      </c>
    </row>
    <row r="2" ht="30" customHeight="1">
      <c r="A2" s="3" t="inlineStr">
        <is>
          <t>From post-incident reviews. Actions that fix a nonconformity go to IMS-REG-008 Nonconformity, Corrective Action and Improvement Log; this sheet keeps the link.</t>
        </is>
      </c>
    </row>
    <row r="4" ht="32" customHeight="1">
      <c r="A4" s="9" t="inlineStr">
        <is>
          <t>Incident ID</t>
        </is>
      </c>
      <c r="B4" s="9" t="inlineStr">
        <is>
          <t>What we learned</t>
        </is>
      </c>
      <c r="C4" s="9" t="inlineStr">
        <is>
          <t>Action</t>
        </is>
      </c>
      <c r="D4" s="9" t="inlineStr">
        <is>
          <t>Owner</t>
        </is>
      </c>
      <c r="E4" s="9" t="inlineStr">
        <is>
          <t>Due</t>
        </is>
      </c>
      <c r="F4" s="9" t="inlineStr">
        <is>
          <t>Status</t>
        </is>
      </c>
      <c r="G4" s="9" t="inlineStr">
        <is>
          <t>NC / CA link</t>
        </is>
      </c>
    </row>
    <row r="5">
      <c r="A5" s="5" t="inlineStr">
        <is>
          <t>INC-2026-002</t>
        </is>
      </c>
      <c r="B5" s="5" t="inlineStr">
        <is>
          <t>Phishing-resistant MFA and full-disk encryption turned a theft into a non-event.</t>
        </is>
      </c>
      <c r="C5" s="5" t="inlineStr">
        <is>
          <t>Keep device baseline; add 'stolen device' card to staff handbook.</t>
        </is>
      </c>
      <c r="D5" s="5" t="inlineStr">
        <is>
          <t>[Security Lead]</t>
        </is>
      </c>
      <c r="E5" s="10" t="n">
        <v>46096</v>
      </c>
      <c r="F5" s="5" t="inlineStr">
        <is>
          <t>Done</t>
        </is>
      </c>
      <c r="G5" s="5" t="inlineStr"/>
    </row>
    <row r="6">
      <c r="A6" s="5" t="inlineStr">
        <is>
          <t>INC-2026-003</t>
        </is>
      </c>
      <c r="B6" s="5" t="inlineStr">
        <is>
          <t>Evaluation set did not test for invented content.</t>
        </is>
      </c>
      <c r="C6" s="5" t="inlineStr">
        <is>
          <t>Add hallucination cases to the release evaluation for every prompt-template change.</t>
        </is>
      </c>
      <c r="D6" s="5" t="inlineStr">
        <is>
          <t>[Head of AI]</t>
        </is>
      </c>
      <c r="E6" s="10" t="n">
        <v>46112</v>
      </c>
      <c r="F6" s="5" t="inlineStr">
        <is>
          <t>Done</t>
        </is>
      </c>
      <c r="G6" s="5" t="inlineStr"/>
    </row>
    <row r="7">
      <c r="A7" s="5" t="inlineStr">
        <is>
          <t>INC-2026-004</t>
        </is>
      </c>
      <c r="B7" s="5" t="inlineStr">
        <is>
          <t>Manual review of infrastructure changes missed a public-access flag.</t>
        </is>
      </c>
      <c r="C7" s="5" t="inlineStr">
        <is>
          <t>Policy-as-code blocks public buckets in CI.</t>
        </is>
      </c>
      <c r="D7" s="5" t="inlineStr">
        <is>
          <t>[Platform Engineer]</t>
        </is>
      </c>
      <c r="E7" s="10" t="n">
        <v>46157</v>
      </c>
      <c r="F7" s="5" t="inlineStr">
        <is>
          <t>Done</t>
        </is>
      </c>
      <c r="G7" s="5" t="inlineStr"/>
    </row>
    <row r="8">
      <c r="A8" s="5" t="inlineStr">
        <is>
          <t>INC-2026-005</t>
        </is>
      </c>
      <c r="B8" s="5" t="inlineStr">
        <is>
          <t>Fairness monitoring in the impact assessment was never built.</t>
        </is>
      </c>
      <c r="C8" s="5" t="inlineStr">
        <is>
          <t>Monthly fairness report; release gate checks monitoring is live.</t>
        </is>
      </c>
      <c r="D8" s="5" t="inlineStr">
        <is>
          <t>[Head of AI]</t>
        </is>
      </c>
      <c r="E8" s="10" t="n">
        <v>46203</v>
      </c>
      <c r="F8" s="5" t="inlineStr">
        <is>
          <t>Done</t>
        </is>
      </c>
      <c r="G8" s="5" t="inlineStr">
        <is>
          <t>NC-2026-002</t>
        </is>
      </c>
    </row>
    <row r="9">
      <c r="A9" s="5" t="inlineStr">
        <is>
          <t>INC-2026-007</t>
        </is>
      </c>
      <c r="B9" s="5" t="inlineStr">
        <is>
          <t>A supplier model change can weaken a safety control without notice; weekly canary was too slow.</t>
        </is>
      </c>
      <c r="C9" s="5" t="inlineStr">
        <is>
          <t>Contract clause for model-change notice and version pinning; supplier AI changes added to change management; own likeness check before delivery; daily canary for 30 days.</t>
        </is>
      </c>
      <c r="D9" s="5" t="inlineStr">
        <is>
          <t>[Privacy and Legal Lead]</t>
        </is>
      </c>
      <c r="E9" s="10" t="n">
        <v>46356</v>
      </c>
      <c r="F9" s="5" t="inlineStr">
        <is>
          <t>In progress</t>
        </is>
      </c>
      <c r="G9" s="5" t="inlineStr">
        <is>
          <t>NC-2026-003; CA-2026-004</t>
        </is>
      </c>
    </row>
    <row r="10">
      <c r="A10" s="5" t="inlineStr">
        <is>
          <t>INC-2026-008</t>
        </is>
      </c>
      <c r="B10" s="5" t="inlineStr">
        <is>
          <t>Push-protection bypass was too easy.</t>
        </is>
      </c>
      <c r="C10" s="5" t="inlineStr">
        <is>
          <t>Bypass requires Security Lead approval.</t>
        </is>
      </c>
      <c r="D10" s="5" t="inlineStr">
        <is>
          <t>[Security Lead]</t>
        </is>
      </c>
      <c r="E10" s="10" t="n">
        <v>46280</v>
      </c>
      <c r="F10" s="5" t="inlineStr">
        <is>
          <t>Done</t>
        </is>
      </c>
      <c r="G10" s="5" t="inlineStr"/>
    </row>
    <row r="11">
      <c r="A11" s="5" t="inlineStr">
        <is>
          <t>INC-2026-009</t>
        </is>
      </c>
      <c r="B11" s="5" t="inlineStr">
        <is>
          <t>Opt-outs arriving by email depend on one person's inbox.</t>
        </is>
      </c>
      <c r="C11" s="5" t="inlineStr">
        <is>
          <t>Single opt-out form feeding the consent ledger; auto-reply points to it; ageing alert at day 7.</t>
        </is>
      </c>
      <c r="D11" s="5" t="inlineStr">
        <is>
          <t>[Data and ML Lead]</t>
        </is>
      </c>
      <c r="E11" s="10" t="n">
        <v>46326</v>
      </c>
      <c r="F11" s="5" t="inlineStr">
        <is>
          <t>In progress</t>
        </is>
      </c>
      <c r="G11" s="5" t="inlineStr">
        <is>
          <t>OBJ-03</t>
        </is>
      </c>
    </row>
    <row r="12">
      <c r="A12" s="12" t="inlineStr">
        <is>
          <t>[INC-YYYY-NNN]</t>
        </is>
      </c>
      <c r="B12" s="12" t="inlineStr">
        <is>
          <t>[what we learned]</t>
        </is>
      </c>
      <c r="C12" s="12" t="inlineStr">
        <is>
          <t>[action]</t>
        </is>
      </c>
      <c r="D12" s="12" t="inlineStr">
        <is>
          <t>[owner]</t>
        </is>
      </c>
      <c r="E12" s="12" t="inlineStr">
        <is>
          <t>[due]</t>
        </is>
      </c>
      <c r="F12" s="5" t="inlineStr">
        <is>
          <t>Not started</t>
        </is>
      </c>
      <c r="G12" s="5" t="inlineStr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5" t="n"/>
      <c r="B15" s="5" t="n"/>
      <c r="C15" s="5" t="n"/>
      <c r="D15" s="5" t="n"/>
      <c r="E15" s="5" t="n"/>
      <c r="F15" s="5" t="n"/>
      <c r="G15" s="5" t="n"/>
    </row>
    <row r="16">
      <c r="A16" s="5" t="n"/>
      <c r="B16" s="5" t="n"/>
      <c r="C16" s="5" t="n"/>
      <c r="D16" s="5" t="n"/>
      <c r="E16" s="5" t="n"/>
      <c r="F16" s="5" t="n"/>
      <c r="G16" s="5" t="n"/>
    </row>
    <row r="17">
      <c r="A17" s="5" t="n"/>
      <c r="B17" s="5" t="n"/>
      <c r="C17" s="5" t="n"/>
      <c r="D17" s="5" t="n"/>
      <c r="E17" s="5" t="n"/>
      <c r="F17" s="5" t="n"/>
      <c r="G17" s="5" t="n"/>
    </row>
    <row r="18">
      <c r="A18" s="5" t="n"/>
      <c r="B18" s="5" t="n"/>
      <c r="C18" s="5" t="n"/>
      <c r="D18" s="5" t="n"/>
      <c r="E18" s="5" t="n"/>
      <c r="F18" s="5" t="n"/>
      <c r="G18" s="5" t="n"/>
    </row>
    <row r="19">
      <c r="A19" s="5" t="n"/>
      <c r="B19" s="5" t="n"/>
      <c r="C19" s="5" t="n"/>
      <c r="D19" s="5" t="n"/>
      <c r="E19" s="5" t="n"/>
      <c r="F19" s="5" t="n"/>
      <c r="G19" s="5" t="n"/>
    </row>
    <row r="20">
      <c r="A20" s="5" t="n"/>
      <c r="B20" s="5" t="n"/>
      <c r="C20" s="5" t="n"/>
      <c r="D20" s="5" t="n"/>
      <c r="E20" s="5" t="n"/>
      <c r="F20" s="5" t="n"/>
      <c r="G20" s="5" t="n"/>
    </row>
    <row r="21">
      <c r="A21" s="5" t="n"/>
      <c r="B21" s="5" t="n"/>
      <c r="C21" s="5" t="n"/>
      <c r="D21" s="5" t="n"/>
      <c r="E21" s="5" t="n"/>
      <c r="F21" s="5" t="n"/>
      <c r="G21" s="5" t="n"/>
    </row>
    <row r="22">
      <c r="A22" s="5" t="n"/>
      <c r="B22" s="5" t="n"/>
      <c r="C22" s="5" t="n"/>
      <c r="D22" s="5" t="n"/>
      <c r="E22" s="5" t="n"/>
      <c r="F22" s="5" t="n"/>
      <c r="G22" s="5" t="n"/>
    </row>
    <row r="23">
      <c r="A23" s="5" t="n"/>
      <c r="B23" s="5" t="n"/>
      <c r="C23" s="5" t="n"/>
      <c r="D23" s="5" t="n"/>
      <c r="E23" s="5" t="n"/>
      <c r="F23" s="5" t="n"/>
      <c r="G23" s="5" t="n"/>
    </row>
    <row r="24">
      <c r="A24" s="5" t="n"/>
      <c r="B24" s="5" t="n"/>
      <c r="C24" s="5" t="n"/>
      <c r="D24" s="5" t="n"/>
      <c r="E24" s="5" t="n"/>
      <c r="F24" s="5" t="n"/>
      <c r="G24" s="5" t="n"/>
    </row>
    <row r="25">
      <c r="A25" s="5" t="n"/>
      <c r="B25" s="5" t="n"/>
      <c r="C25" s="5" t="n"/>
      <c r="D25" s="5" t="n"/>
      <c r="E25" s="5" t="n"/>
      <c r="F25" s="5" t="n"/>
      <c r="G25" s="5" t="n"/>
    </row>
    <row r="26">
      <c r="A26" s="5" t="n"/>
      <c r="B26" s="5" t="n"/>
      <c r="C26" s="5" t="n"/>
      <c r="D26" s="5" t="n"/>
      <c r="E26" s="5" t="n"/>
      <c r="F26" s="5" t="n"/>
      <c r="G26" s="5" t="n"/>
    </row>
    <row r="27">
      <c r="A27" s="5" t="n"/>
      <c r="B27" s="5" t="n"/>
      <c r="C27" s="5" t="n"/>
      <c r="D27" s="5" t="n"/>
      <c r="E27" s="5" t="n"/>
      <c r="F27" s="5" t="n"/>
      <c r="G27" s="5" t="n"/>
    </row>
    <row r="28">
      <c r="A28" s="5" t="n"/>
      <c r="B28" s="5" t="n"/>
      <c r="C28" s="5" t="n"/>
      <c r="D28" s="5" t="n"/>
      <c r="E28" s="5" t="n"/>
      <c r="F28" s="5" t="n"/>
      <c r="G28" s="5" t="n"/>
    </row>
    <row r="29">
      <c r="A29" s="5" t="n"/>
      <c r="B29" s="5" t="n"/>
      <c r="C29" s="5" t="n"/>
      <c r="D29" s="5" t="n"/>
      <c r="E29" s="5" t="n"/>
      <c r="F29" s="5" t="n"/>
      <c r="G29" s="5" t="n"/>
    </row>
    <row r="30">
      <c r="A30" s="5" t="n"/>
      <c r="B30" s="5" t="n"/>
      <c r="C30" s="5" t="n"/>
      <c r="D30" s="5" t="n"/>
      <c r="E30" s="5" t="n"/>
      <c r="F30" s="5" t="n"/>
      <c r="G30" s="5" t="n"/>
    </row>
    <row r="31">
      <c r="A31" s="5" t="n"/>
      <c r="B31" s="5" t="n"/>
      <c r="C31" s="5" t="n"/>
      <c r="D31" s="5" t="n"/>
      <c r="E31" s="5" t="n"/>
      <c r="F31" s="5" t="n"/>
      <c r="G31" s="5" t="n"/>
    </row>
    <row r="32">
      <c r="A32" s="5" t="n"/>
      <c r="B32" s="5" t="n"/>
      <c r="C32" s="5" t="n"/>
      <c r="D32" s="5" t="n"/>
      <c r="E32" s="5" t="n"/>
      <c r="F32" s="5" t="n"/>
      <c r="G32" s="5" t="n"/>
    </row>
    <row r="33">
      <c r="A33" s="5" t="n"/>
      <c r="B33" s="5" t="n"/>
      <c r="C33" s="5" t="n"/>
      <c r="D33" s="5" t="n"/>
      <c r="E33" s="5" t="n"/>
      <c r="F33" s="5" t="n"/>
      <c r="G33" s="5" t="n"/>
    </row>
    <row r="34">
      <c r="A34" s="5" t="n"/>
      <c r="B34" s="5" t="n"/>
      <c r="C34" s="5" t="n"/>
      <c r="D34" s="5" t="n"/>
      <c r="E34" s="5" t="n"/>
      <c r="F34" s="5" t="n"/>
      <c r="G34" s="5" t="n"/>
    </row>
    <row r="35">
      <c r="A35" s="5" t="n"/>
      <c r="B35" s="5" t="n"/>
      <c r="C35" s="5" t="n"/>
      <c r="D35" s="5" t="n"/>
      <c r="E35" s="5" t="n"/>
      <c r="F35" s="5" t="n"/>
      <c r="G35" s="5" t="n"/>
    </row>
    <row r="36">
      <c r="A36" s="5" t="n"/>
      <c r="B36" s="5" t="n"/>
      <c r="C36" s="5" t="n"/>
      <c r="D36" s="5" t="n"/>
      <c r="E36" s="5" t="n"/>
      <c r="F36" s="5" t="n"/>
      <c r="G36" s="5" t="n"/>
    </row>
    <row r="37">
      <c r="A37" s="5" t="n"/>
      <c r="B37" s="5" t="n"/>
      <c r="C37" s="5" t="n"/>
      <c r="D37" s="5" t="n"/>
      <c r="E37" s="5" t="n"/>
      <c r="F37" s="5" t="n"/>
      <c r="G37" s="5" t="n"/>
    </row>
    <row r="38">
      <c r="A38" s="5" t="n"/>
      <c r="B38" s="5" t="n"/>
      <c r="C38" s="5" t="n"/>
      <c r="D38" s="5" t="n"/>
      <c r="E38" s="5" t="n"/>
      <c r="F38" s="5" t="n"/>
      <c r="G38" s="5" t="n"/>
    </row>
    <row r="39">
      <c r="A39" s="5" t="n"/>
      <c r="B39" s="5" t="n"/>
      <c r="C39" s="5" t="n"/>
      <c r="D39" s="5" t="n"/>
      <c r="E39" s="5" t="n"/>
      <c r="F39" s="5" t="n"/>
      <c r="G39" s="5" t="n"/>
    </row>
    <row r="40">
      <c r="A40" s="5" t="n"/>
      <c r="B40" s="5" t="n"/>
      <c r="C40" s="5" t="n"/>
      <c r="D40" s="5" t="n"/>
      <c r="E40" s="5" t="n"/>
      <c r="F40" s="5" t="n"/>
      <c r="G40" s="5" t="n"/>
    </row>
    <row r="41">
      <c r="A41" s="5" t="n"/>
      <c r="B41" s="5" t="n"/>
      <c r="C41" s="5" t="n"/>
      <c r="D41" s="5" t="n"/>
      <c r="E41" s="5" t="n"/>
      <c r="F41" s="5" t="n"/>
      <c r="G41" s="5" t="n"/>
    </row>
    <row r="42">
      <c r="A42" s="5" t="n"/>
      <c r="B42" s="5" t="n"/>
      <c r="C42" s="5" t="n"/>
      <c r="D42" s="5" t="n"/>
      <c r="E42" s="5" t="n"/>
      <c r="F42" s="5" t="n"/>
      <c r="G42" s="5" t="n"/>
    </row>
  </sheetData>
  <autoFilter ref="A4:G42"/>
  <mergeCells count="1">
    <mergeCell ref="A2:G2"/>
  </mergeCells>
  <conditionalFormatting sqref="F5:F42">
    <cfRule type="cellIs" priority="1" operator="equal" dxfId="0">
      <formula>"Implemented"</formula>
    </cfRule>
    <cfRule type="cellIs" priority="2" operator="equal" dxfId="0">
      <formula>"Done"</formula>
    </cfRule>
    <cfRule type="cellIs" priority="3" operator="equal" dxfId="0">
      <formula>"Closed"</formula>
    </cfRule>
    <cfRule type="cellIs" priority="4" operator="equal" dxfId="0">
      <formula>"Yes"</formula>
    </cfRule>
    <cfRule type="cellIs" priority="5" operator="equal" dxfId="0">
      <formula>"Met"</formula>
    </cfRule>
    <cfRule type="cellIs" priority="6" operator="equal" dxfId="1">
      <formula>"Partially implemented"</formula>
    </cfRule>
    <cfRule type="cellIs" priority="7" operator="equal" dxfId="1">
      <formula>"Partial"</formula>
    </cfRule>
    <cfRule type="cellIs" priority="8" operator="equal" dxfId="1">
      <formula>"Done late"</formula>
    </cfRule>
    <cfRule type="cellIs" priority="9" operator="equal" dxfId="1">
      <formula>"In progress"</formula>
    </cfRule>
    <cfRule type="cellIs" priority="10" operator="equal" dxfId="1">
      <formula>"Open"</formula>
    </cfRule>
    <cfRule type="cellIs" priority="11" operator="equal" dxfId="1">
      <formula>"On track"</formula>
    </cfRule>
    <cfRule type="cellIs" priority="12" operator="equal" dxfId="4">
      <formula>"Planned"</formula>
    </cfRule>
    <cfRule type="cellIs" priority="13" operator="equal" dxfId="5">
      <formula>"Not started"</formula>
    </cfRule>
    <cfRule type="cellIs" priority="14" operator="equal" dxfId="2">
      <formula>"Not implemented"</formula>
    </cfRule>
    <cfRule type="cellIs" priority="15" operator="equal" dxfId="2">
      <formula>"No"</formula>
    </cfRule>
    <cfRule type="cellIs" priority="16" operator="equal" dxfId="2">
      <formula>"Overdue"</formula>
    </cfRule>
    <cfRule type="cellIs" priority="17" operator="equal" dxfId="2">
      <formula>"Not met"</formula>
    </cfRule>
    <cfRule type="cellIs" priority="18" operator="equal" dxfId="6">
      <formula>"Excluded"</formula>
    </cfRule>
  </conditionalFormatting>
  <dataValidations count="1">
    <dataValidation sqref="F5:F42" showDropDown="0" showInputMessage="0" showErrorMessage="0" allowBlank="1" errorTitle="Invalid value" error="Pick a value from the list." type="list">
      <formula1>"Not started,In progress,Done"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Prof. Dr. Mohamed Fawzi Elgendi (Fawzooz)</dc:creator>
  <dc:title xmlns:dc="http://purl.org/dc/elements/1.1/">Incident and Event Log</dc:title>
  <dcterms:created xmlns:dcterms="http://purl.org/dc/terms/" xmlns:xsi="http://www.w3.org/2001/XMLSchema-instance" xsi:type="dcterms:W3CDTF">2026-10-04T18:41:16Z</dcterms:created>
  <dcterms:modified xmlns:dcterms="http://purl.org/dc/terms/" xmlns:xsi="http://www.w3.org/2001/XMLSchema-instance" xsi:type="dcterms:W3CDTF">2026-10-04T18:41:16Z</dcterms:modified>
  <cp:lastModifiedBy>Prof. Dr. Mohamed Fawzi Elgendi (Fawzooz)</cp:lastModifiedBy>
</cp:coreProperties>
</file>