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nformation Assets" sheetId="2" state="visible" r:id="rId2"/>
    <sheet xmlns:r="http://schemas.openxmlformats.org/officeDocument/2006/relationships" name="AI System Inventory" sheetId="3" state="visible" r:id="rId3"/>
    <sheet xmlns:r="http://schemas.openxmlformats.org/officeDocument/2006/relationships" name="AI Resources" sheetId="4" state="visible" r:id="rId4"/>
    <sheet xmlns:r="http://schemas.openxmlformats.org/officeDocument/2006/relationships" name="Suppliers" sheetId="5" state="visible" r:id="rId5"/>
  </sheets>
  <definedNames>
    <definedName name="_xlnm._FilterDatabase" localSheetId="1" hidden="1">'Information Assets'!$A$4:$O$57</definedName>
    <definedName name="_xlnm.Print_Titles" localSheetId="1">'Information Assets'!$4:$4</definedName>
    <definedName name="_xlnm._FilterDatabase" localSheetId="2" hidden="1">'AI System Inventory'!$A$4:$V$25</definedName>
    <definedName name="_xlnm.Print_Titles" localSheetId="2">'AI System Inventory'!$4:$4</definedName>
    <definedName name="_xlnm._FilterDatabase" localSheetId="3" hidden="1">'AI Resources'!$A$4:$I$48</definedName>
    <definedName name="_xlnm.Print_Titles" localSheetId="3">'AI Resources'!$4:$4</definedName>
    <definedName name="_xlnm._FilterDatabase" localSheetId="4" hidden="1">'Suppliers'!$A$4:$O$42</definedName>
    <definedName name="_xlnm.Print_Titles" localSheetId="4">'Suppliers'!$4:$4</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0F766E"/>
      <sz val="10"/>
    </font>
    <font>
      <b val="1"/>
      <color rgb="00142B4C"/>
      <sz val="18"/>
    </font>
    <font>
      <b val="1"/>
    </font>
    <font>
      <b val="1"/>
      <color rgb="00142B4C"/>
      <sz val="12"/>
    </font>
    <font>
      <b val="1"/>
      <color rgb="00142B4C"/>
      <sz val="14"/>
    </font>
    <font>
      <b val="1"/>
      <color rgb="00FFFFFF"/>
    </font>
  </fonts>
  <fills count="5">
    <fill>
      <patternFill/>
    </fill>
    <fill>
      <patternFill patternType="gray125"/>
    </fill>
    <fill>
      <patternFill patternType="solid">
        <fgColor rgb="00EEF2F7"/>
      </patternFill>
    </fill>
    <fill>
      <patternFill patternType="solid">
        <fgColor rgb="00142B4C"/>
      </patternFill>
    </fill>
    <fill>
      <patternFill patternType="solid">
        <fgColor rgb="00FFF2CC"/>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pivotButton="0" quotePrefix="0" xfId="0"/>
    <xf numFmtId="0" fontId="0" fillId="0" borderId="1" applyAlignment="1" pivotButton="0" quotePrefix="0" xfId="0">
      <alignment vertical="top" wrapText="1"/>
    </xf>
    <xf numFmtId="0" fontId="4" fillId="0" borderId="0" pivotButton="0" quotePrefix="0" xfId="0"/>
    <xf numFmtId="0" fontId="3" fillId="0" borderId="0" pivotButton="0" quotePrefix="0" xfId="0"/>
    <xf numFmtId="0" fontId="5" fillId="0" borderId="0" pivotButton="0" quotePrefix="0" xfId="0"/>
    <xf numFmtId="0" fontId="6" fillId="3" borderId="1" applyAlignment="1" pivotButton="0" quotePrefix="0" xfId="0">
      <alignment vertical="center" wrapText="1"/>
    </xf>
    <xf numFmtId="164"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dxfs count="7">
    <dxf>
      <fill>
        <patternFill patternType="solid">
          <fgColor rgb="00C6EFCE"/>
        </patternFill>
      </fill>
    </dxf>
    <dxf>
      <fill>
        <patternFill patternType="solid">
          <fgColor rgb="00FFEB9C"/>
        </patternFill>
      </fill>
    </dxf>
    <dxf>
      <fill>
        <patternFill patternType="solid">
          <fgColor rgb="00F8CBAD"/>
        </patternFill>
      </fill>
    </dxf>
    <dxf>
      <fill>
        <patternFill patternType="solid">
          <fgColor rgb="00FF7C80"/>
        </patternFill>
      </fill>
    </dxf>
    <dxf>
      <fill>
        <patternFill patternType="solid">
          <fgColor rgb="00DDEBF7"/>
        </patternFill>
      </fill>
    </dxf>
    <dxf>
      <fill>
        <patternFill patternType="solid">
          <fgColor rgb="00F2F2F2"/>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24" customWidth="1" min="1" max="1"/>
    <col width="100" customWidth="1" min="2" max="2"/>
  </cols>
  <sheetData>
    <row r="1">
      <c r="A1" s="1" t="inlineStr">
        <is>
          <t>TWYNTRUST FRAMEWORK · Quillfen Studio</t>
        </is>
      </c>
    </row>
    <row r="2">
      <c r="A2" s="2" t="inlineStr">
        <is>
          <t>Asset and AI System Inventory</t>
        </is>
      </c>
    </row>
    <row r="3" ht="48" customHeight="1">
      <c r="A3" s="3" t="inlineStr">
        <is>
          <t>One inventory of the information assets, AI systems, AI resources and suppliers inside the scope of the integrated management system — the starting point for risk assessment, the Statements of Applicability and every audit trail.</t>
        </is>
      </c>
    </row>
    <row r="5">
      <c r="A5" s="4" t="inlineStr">
        <is>
          <t>Document ID</t>
        </is>
      </c>
      <c r="B5" s="5" t="inlineStr">
        <is>
          <t>IMS-REG-005</t>
        </is>
      </c>
    </row>
    <row r="6">
      <c r="A6" s="4" t="inlineStr">
        <is>
          <t>Version</t>
        </is>
      </c>
      <c r="B6" s="5" t="inlineStr">
        <is>
          <t>2.0</t>
        </is>
      </c>
    </row>
    <row r="7">
      <c r="A7" s="4" t="inlineStr">
        <is>
          <t>Prepared by</t>
        </is>
      </c>
      <c r="B7" s="5" t="inlineStr">
        <is>
          <t>Prof. Dr. Mohamed Fawzi Elgendi (Fawzooz), Fawzooz.ai</t>
        </is>
      </c>
    </row>
    <row r="8">
      <c r="A8" s="4" t="inlineStr">
        <is>
          <t>License</t>
        </is>
      </c>
      <c r="B8" s="5" t="inlineStr">
        <is>
          <t>CC BY 4.0 — free to share and adapt, including commercially, with credit to Prof. Dr. Mohamed Fawzi Elgendi (Fawzooz), Fawzooz.ai · creativecommons.org/licenses/by/4.0</t>
        </is>
      </c>
    </row>
    <row r="9">
      <c r="A9" s="4" t="inlineStr">
        <is>
          <t>Classification</t>
        </is>
      </c>
      <c r="B9" s="5" t="inlineStr">
        <is>
          <t>Internal</t>
        </is>
      </c>
    </row>
    <row r="10">
      <c r="A10" s="4" t="inlineStr">
        <is>
          <t>Owner</t>
        </is>
      </c>
      <c r="B10" s="5" t="inlineStr">
        <is>
          <t>[Security Lead]</t>
        </is>
      </c>
    </row>
    <row r="11">
      <c r="A11" s="4" t="inlineStr">
        <is>
          <t>Approved by</t>
        </is>
      </c>
      <c r="B11" s="5" t="inlineStr">
        <is>
          <t>[CEO] (Trust Council)</t>
        </is>
      </c>
    </row>
    <row r="12">
      <c r="A12" s="4" t="inlineStr">
        <is>
          <t>Effective date</t>
        </is>
      </c>
      <c r="B12" s="5" t="inlineStr">
        <is>
          <t>2026-11-01</t>
        </is>
      </c>
    </row>
    <row r="13">
      <c r="A13" s="4" t="inlineStr">
        <is>
          <t>Kit folder</t>
        </is>
      </c>
      <c r="B13" s="5" t="inlineStr">
        <is>
          <t>04 Operate - Lifecycle Controls</t>
        </is>
      </c>
    </row>
    <row r="14">
      <c r="A14" s="4" t="inlineStr">
        <is>
          <t>ISO/IEC 27001:2022</t>
        </is>
      </c>
      <c r="B14" s="5" t="inlineStr">
        <is>
          <t>Annex A 5.9, 5.10, 5.11, 5.12, 5.19–5.23 (supplier summary)</t>
        </is>
      </c>
    </row>
    <row r="15">
      <c r="A15" s="4" t="inlineStr">
        <is>
          <t>ISO/IEC 42001:2023</t>
        </is>
      </c>
      <c r="B15" s="5" t="inlineStr">
        <is>
          <t>4.1 (AI roles); Annex A.4.2–A.4.6, A.6.2.7; supports 6.1.4 and 8.4</t>
        </is>
      </c>
    </row>
    <row r="17">
      <c r="A17" s="6" t="inlineStr">
        <is>
          <t>How to use this workbook</t>
        </is>
      </c>
    </row>
    <row r="18" ht="30" customHeight="1">
      <c r="A18" t="inlineStr">
        <is>
          <t>•</t>
        </is>
      </c>
      <c r="B18" s="3" t="inlineStr">
        <is>
          <t>This is a SAMPLE filled in for the example company Quillfen Studio. Keep the structure, replace the example rows with your own.</t>
        </is>
      </c>
    </row>
    <row r="19" ht="15" customHeight="1">
      <c r="A19" t="inlineStr">
        <is>
          <t>•</t>
        </is>
      </c>
      <c r="B19" s="3" t="inlineStr">
        <is>
          <t>Yellow cells are fill-in fields. Drop-down cells only accept the listed values.</t>
        </is>
      </c>
    </row>
    <row r="20" ht="30" customHeight="1">
      <c r="A20" t="inlineStr">
        <is>
          <t>•</t>
        </is>
      </c>
      <c r="B20" s="3" t="inlineStr">
        <is>
          <t>Cells with formulas (scores, levels, due status) calculate automatically — do not type over them.</t>
        </is>
      </c>
    </row>
    <row r="21" ht="30" customHeight="1">
      <c r="A21" t="inlineStr">
        <is>
          <t>•</t>
        </is>
      </c>
      <c r="B21" s="3" t="inlineStr">
        <is>
          <t>Start with the AI System Inventory: one row per AI system you build, integrate or use, including AI tools staff use (like a coding assistant). Then list the assets those systems depend on.</t>
        </is>
      </c>
    </row>
    <row r="22" ht="30" customHeight="1">
      <c r="A22" t="inlineStr">
        <is>
          <t>•</t>
        </is>
      </c>
      <c r="B22" s="3" t="inlineStr">
        <is>
          <t>Every risk in the risk register should point to an asset or AI system ID in this workbook (IMS-REG-002 Integrated Risk Register and Treatment Plan).</t>
        </is>
      </c>
    </row>
    <row r="23" ht="30" customHeight="1">
      <c r="A23" t="inlineStr">
        <is>
          <t>•</t>
        </is>
      </c>
      <c r="B23" s="3" t="inlineStr">
        <is>
          <t>Review owners and classifications every 12 months and after any significant change. The 'Review status' columns turn red when the last review is more than a year old.</t>
        </is>
      </c>
    </row>
    <row r="24" ht="30" customHeight="1">
      <c r="A24" t="inlineStr">
        <is>
          <t>•</t>
        </is>
      </c>
      <c r="B24" s="3" t="inlineStr">
        <is>
          <t>The Suppliers sheet mirrors the register in IMS-POL-006 Supplier and Third-Party AI Policy; keep them in step.</t>
        </is>
      </c>
    </row>
    <row r="26">
      <c r="A26" s="6" t="inlineStr">
        <is>
          <t>Sheets</t>
        </is>
      </c>
    </row>
    <row r="27" ht="45" customHeight="1">
      <c r="A27" s="7" t="inlineStr">
        <is>
          <t>Information Assets</t>
        </is>
      </c>
      <c r="B27" s="3" t="inlineStr">
        <is>
          <t>One row per information asset or group of similar assets. Score confidentiality (C), integrity (I) and availability (A) on the 1–5 impact scale from IMS-PRO-001; the criticality column calculates from the highest score. Classification follows IMS-POL-003.</t>
        </is>
      </c>
    </row>
    <row r="28" ht="45" customHeight="1">
      <c r="A28" s="7" t="inlineStr">
        <is>
          <t>AI System Inventory</t>
        </is>
      </c>
      <c r="B28" s="3" t="inlineStr">
        <is>
          <t>One row per AI system in scope, whatever our role (provider, producer, customer/user). Register a system at gate G0 of IMS-POL-002 and update it at every release. Release status and the AIIA reference are checked by the AI Release Review.</t>
        </is>
      </c>
    </row>
    <row r="29" ht="45" customHeight="1">
      <c r="A29" s="7" t="inlineStr">
        <is>
          <t>AI Resources</t>
        </is>
      </c>
      <c r="B29" s="3" t="inlineStr">
        <is>
          <t>For each AI system, document the data, tooling, system and computing, and human resources it depends on (A.4.3–A.4.6). Together with the inventory this is the resource documentation asked for in A.4.2.</t>
        </is>
      </c>
    </row>
    <row r="30" ht="30" customHeight="1">
      <c r="A30" s="7" t="inlineStr">
        <is>
          <t>Suppliers</t>
        </is>
      </c>
      <c r="B30" s="3" t="inlineStr">
        <is>
          <t>Same records as the supplier register in IMS-POL-006. Tier 1 suppliers are reviewed every 6–12 months; 'Review status' turns red when the next review date has passed.</t>
        </is>
      </c>
    </row>
  </sheetData>
  <mergeCells count="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O5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22" customWidth="1" min="3" max="3"/>
    <col width="30" customWidth="1" min="4" max="4"/>
    <col width="14" customWidth="1" min="5" max="5"/>
    <col width="24" customWidth="1" min="6" max="6"/>
    <col width="8" customWidth="1" min="7" max="7"/>
    <col width="8" customWidth="1" min="8" max="8"/>
    <col width="8" customWidth="1" min="9" max="9"/>
    <col width="12" customWidth="1" min="10" max="10"/>
    <col width="24" customWidth="1" min="11" max="11"/>
    <col width="16" customWidth="1" min="12" max="12"/>
    <col width="38" customWidth="1" min="13" max="13"/>
    <col width="13" customWidth="1" min="14" max="14"/>
    <col width="13" customWidth="1" min="15" max="15"/>
  </cols>
  <sheetData>
    <row r="1">
      <c r="A1" s="8" t="inlineStr">
        <is>
          <t>Information asset inventory (27001 Annex A 5.9, 5.12)</t>
        </is>
      </c>
    </row>
    <row r="2" ht="30" customHeight="1">
      <c r="A2" s="3" t="inlineStr">
        <is>
          <t>One row per information asset or group of similar assets. Score confidentiality (C), integrity (I) and availability (A) on the 1–5 impact scale from IMS-PRO-001; the criticality column calculates from the highest score. Classification follows IMS-POL-003.</t>
        </is>
      </c>
    </row>
    <row r="4" ht="32" customHeight="1">
      <c r="A4" s="9" t="inlineStr">
        <is>
          <t>Asset ID</t>
        </is>
      </c>
      <c r="B4" s="9" t="inlineStr">
        <is>
          <t>Asset</t>
        </is>
      </c>
      <c r="C4" s="9" t="inlineStr">
        <is>
          <t>Type</t>
        </is>
      </c>
      <c r="D4" s="9" t="inlineStr">
        <is>
          <t>Owner</t>
        </is>
      </c>
      <c r="E4" s="9" t="inlineStr">
        <is>
          <t>Classification</t>
        </is>
      </c>
      <c r="F4" s="9" t="inlineStr">
        <is>
          <t>Location</t>
        </is>
      </c>
      <c r="G4" s="9" t="inlineStr">
        <is>
          <t>C (1-5)</t>
        </is>
      </c>
      <c r="H4" s="9" t="inlineStr">
        <is>
          <t>I (1-5)</t>
        </is>
      </c>
      <c r="I4" s="9" t="inlineStr">
        <is>
          <t>A (1-5)</t>
        </is>
      </c>
      <c r="J4" s="9" t="inlineStr">
        <is>
          <t>Criticality</t>
        </is>
      </c>
      <c r="K4" s="9" t="inlineStr">
        <is>
          <t>Linked AI system(s)</t>
        </is>
      </c>
      <c r="L4" s="9" t="inlineStr">
        <is>
          <t>Linked risks</t>
        </is>
      </c>
      <c r="M4" s="9" t="inlineStr">
        <is>
          <t>Handling notes</t>
        </is>
      </c>
      <c r="N4" s="9" t="inlineStr">
        <is>
          <t>Last reviewed</t>
        </is>
      </c>
      <c r="O4" s="9" t="inlineStr">
        <is>
          <t>Review status</t>
        </is>
      </c>
    </row>
    <row r="5">
      <c r="A5" s="5" t="inlineStr">
        <is>
          <t>AST-001</t>
        </is>
      </c>
      <c r="B5" s="5" t="inlineStr">
        <is>
          <t>Production cloud environment (AWS accounts, eu-west-1 and me-central-1)</t>
        </is>
      </c>
      <c r="C5" s="5" t="inlineStr">
        <is>
          <t>Service / infrastructure</t>
        </is>
      </c>
      <c r="D5" s="5" t="inlineStr">
        <is>
          <t>[Platform Engineer]</t>
        </is>
      </c>
      <c r="E5" s="5" t="inlineStr">
        <is>
          <t>Confidential</t>
        </is>
      </c>
      <c r="F5" s="5" t="inlineStr">
        <is>
          <t>AWS</t>
        </is>
      </c>
      <c r="G5" s="5" t="n">
        <v>4</v>
      </c>
      <c r="H5" s="5" t="n">
        <v>4</v>
      </c>
      <c r="I5" s="5" t="n">
        <v>5</v>
      </c>
      <c r="J5" s="5">
        <f>IF(COUNT(G5:I5)=0,"",IF(MAX(G5:I5)&gt;=5,"Critical",IF(MAX(G5:I5)=4,"High",IF(MAX(G5:I5)=3,"Medium","Low"))))</f>
        <v/>
      </c>
      <c r="K5" s="5" t="inlineStr">
        <is>
          <t>All</t>
        </is>
      </c>
      <c r="L5" s="5" t="inlineStr">
        <is>
          <t>RSK-IS-004</t>
        </is>
      </c>
      <c r="M5" s="5" t="inlineStr">
        <is>
          <t>IaC only; no console changes without ticket</t>
        </is>
      </c>
      <c r="N5" s="10" t="n">
        <v>46290</v>
      </c>
      <c r="O5" s="5">
        <f>IF(N5="","",IF(N5+365&lt;TODAY(),"Overdue","On track"))</f>
        <v/>
      </c>
    </row>
    <row r="6">
      <c r="A6" s="5" t="inlineStr">
        <is>
          <t>AST-002</t>
        </is>
      </c>
      <c r="B6" s="5" t="inlineStr">
        <is>
          <t>Quillfen Canvas web application and its source code</t>
        </is>
      </c>
      <c r="C6" s="5" t="inlineStr">
        <is>
          <t>Software</t>
        </is>
      </c>
      <c r="D6" s="5" t="inlineStr">
        <is>
          <t>[CTO]</t>
        </is>
      </c>
      <c r="E6" s="5" t="inlineStr">
        <is>
          <t>Confidential</t>
        </is>
      </c>
      <c r="F6" s="5" t="inlineStr">
        <is>
          <t>GitHub, AWS</t>
        </is>
      </c>
      <c r="G6" s="5" t="n">
        <v>4</v>
      </c>
      <c r="H6" s="5" t="n">
        <v>4</v>
      </c>
      <c r="I6" s="5" t="n">
        <v>4</v>
      </c>
      <c r="J6" s="5">
        <f>IF(COUNT(G6:I6)=0,"",IF(MAX(G6:I6)&gt;=5,"Critical",IF(MAX(G6:I6)=4,"High",IF(MAX(G6:I6)=3,"Medium","Low"))))</f>
        <v/>
      </c>
      <c r="K6" s="5" t="inlineStr">
        <is>
          <t>—</t>
        </is>
      </c>
      <c r="L6" s="5" t="inlineStr">
        <is>
          <t>RSK-IS-005</t>
        </is>
      </c>
      <c r="M6" s="5" t="inlineStr">
        <is>
          <t>Branch protection; SAST/SCA in CI</t>
        </is>
      </c>
      <c r="N6" s="10" t="n">
        <v>46290</v>
      </c>
      <c r="O6" s="5">
        <f>IF(N6="","",IF(N6+365&lt;TODAY(),"Overdue","On track"))</f>
        <v/>
      </c>
    </row>
    <row r="7">
      <c r="A7" s="5" t="inlineStr">
        <is>
          <t>AST-003</t>
        </is>
      </c>
      <c r="B7" s="5" t="inlineStr">
        <is>
          <t>Quillfen Commons marketplace (artist profiles, commissions, payouts data)</t>
        </is>
      </c>
      <c r="C7" s="5" t="inlineStr">
        <is>
          <t>Software + personal data</t>
        </is>
      </c>
      <c r="D7" s="5" t="inlineStr">
        <is>
          <t>[CTO]</t>
        </is>
      </c>
      <c r="E7" s="5" t="inlineStr">
        <is>
          <t>Confidential</t>
        </is>
      </c>
      <c r="F7" s="5" t="inlineStr">
        <is>
          <t>AWS, payment processor</t>
        </is>
      </c>
      <c r="G7" s="5" t="n">
        <v>4</v>
      </c>
      <c r="H7" s="5" t="n">
        <v>4</v>
      </c>
      <c r="I7" s="5" t="n">
        <v>4</v>
      </c>
      <c r="J7" s="5">
        <f>IF(COUNT(G7:I7)=0,"",IF(MAX(G7:I7)&gt;=5,"Critical",IF(MAX(G7:I7)=4,"High",IF(MAX(G7:I7)=3,"Medium","Low"))))</f>
        <v/>
      </c>
      <c r="K7" s="5" t="inlineStr">
        <is>
          <t>AI-SYS-003</t>
        </is>
      </c>
      <c r="L7" s="5" t="inlineStr">
        <is>
          <t>—</t>
        </is>
      </c>
      <c r="M7" s="5" t="inlineStr">
        <is>
          <t>PII minimised; payouts via processor</t>
        </is>
      </c>
      <c r="N7" s="10" t="n">
        <v>46290</v>
      </c>
      <c r="O7" s="5">
        <f>IF(N7="","",IF(N7+365&lt;TODAY(),"Overdue","On track"))</f>
        <v/>
      </c>
    </row>
    <row r="8">
      <c r="A8" s="5" t="inlineStr">
        <is>
          <t>AST-004</t>
        </is>
      </c>
      <c r="B8" s="5" t="inlineStr">
        <is>
          <t>Customer scripts, prompts and project files</t>
        </is>
      </c>
      <c r="C8" s="5" t="inlineStr">
        <is>
          <t>Customer data</t>
        </is>
      </c>
      <c r="D8" s="5" t="inlineStr">
        <is>
          <t>[CTO]</t>
        </is>
      </c>
      <c r="E8" s="5" t="inlineStr">
        <is>
          <t>Restricted</t>
        </is>
      </c>
      <c r="F8" s="5" t="inlineStr">
        <is>
          <t>AWS S3 (encrypted)</t>
        </is>
      </c>
      <c r="G8" s="5" t="n">
        <v>5</v>
      </c>
      <c r="H8" s="5" t="n">
        <v>4</v>
      </c>
      <c r="I8" s="5" t="n">
        <v>4</v>
      </c>
      <c r="J8" s="5">
        <f>IF(COUNT(G8:I8)=0,"",IF(MAX(G8:I8)&gt;=5,"Critical",IF(MAX(G8:I8)=4,"High",IF(MAX(G8:I8)=3,"Medium","Low"))))</f>
        <v/>
      </c>
      <c r="K8" s="5" t="inlineStr">
        <is>
          <t>AI-SYS-001, AI-SYS-002</t>
        </is>
      </c>
      <c r="L8" s="5" t="inlineStr">
        <is>
          <t>RSK-IS-001</t>
        </is>
      </c>
      <c r="M8" s="5" t="inlineStr">
        <is>
          <t>Encrypted; never used for training without opt-in</t>
        </is>
      </c>
      <c r="N8" s="10" t="n">
        <v>45910</v>
      </c>
      <c r="O8" s="5">
        <f>IF(N8="","",IF(N8+365&lt;TODAY(),"Overdue","On track"))</f>
        <v/>
      </c>
    </row>
    <row r="9">
      <c r="A9" s="5" t="inlineStr">
        <is>
          <t>AST-005</t>
        </is>
      </c>
      <c r="B9" s="5" t="inlineStr">
        <is>
          <t>Artist portfolios and consent / licence records</t>
        </is>
      </c>
      <c r="C9" s="5" t="inlineStr">
        <is>
          <t>Personal data + IP</t>
        </is>
      </c>
      <c r="D9" s="5" t="inlineStr">
        <is>
          <t>[Data and ML Lead]</t>
        </is>
      </c>
      <c r="E9" s="5" t="inlineStr">
        <is>
          <t>Restricted</t>
        </is>
      </c>
      <c r="F9" s="5" t="inlineStr">
        <is>
          <t>AWS S3, consent ledger</t>
        </is>
      </c>
      <c r="G9" s="5" t="n">
        <v>5</v>
      </c>
      <c r="H9" s="5" t="n">
        <v>4</v>
      </c>
      <c r="I9" s="5" t="n">
        <v>3</v>
      </c>
      <c r="J9" s="5">
        <f>IF(COUNT(G9:I9)=0,"",IF(MAX(G9:I9)&gt;=5,"Critical",IF(MAX(G9:I9)=4,"High",IF(MAX(G9:I9)=3,"Medium","Low"))))</f>
        <v/>
      </c>
      <c r="K9" s="5" t="inlineStr">
        <is>
          <t>AI-SYS-001, AI-SYS-003</t>
        </is>
      </c>
      <c r="L9" s="5" t="inlineStr">
        <is>
          <t>—</t>
        </is>
      </c>
      <c r="M9" s="5" t="inlineStr">
        <is>
          <t>Ledger check before any training use</t>
        </is>
      </c>
      <c r="N9" s="10" t="n">
        <v>46290</v>
      </c>
      <c r="O9" s="5">
        <f>IF(N9="","",IF(N9+365&lt;TODAY(),"Overdue","On track"))</f>
        <v/>
      </c>
    </row>
    <row r="10">
      <c r="A10" s="5" t="inlineStr">
        <is>
          <t>AST-006</t>
        </is>
      </c>
      <c r="B10" s="5" t="inlineStr">
        <is>
          <t>StoryFrame fine-tuning datasets and model weights</t>
        </is>
      </c>
      <c r="C10" s="5" t="inlineStr">
        <is>
          <t>AI asset (data + model)</t>
        </is>
      </c>
      <c r="D10" s="5" t="inlineStr">
        <is>
          <t>[Data and ML Lead]</t>
        </is>
      </c>
      <c r="E10" s="5" t="inlineStr">
        <is>
          <t>Restricted</t>
        </is>
      </c>
      <c r="F10" s="5" t="inlineStr">
        <is>
          <t>AWS S3, model registry</t>
        </is>
      </c>
      <c r="G10" s="5" t="n">
        <v>5</v>
      </c>
      <c r="H10" s="5" t="n">
        <v>5</v>
      </c>
      <c r="I10" s="5" t="n">
        <v>3</v>
      </c>
      <c r="J10" s="5">
        <f>IF(COUNT(G10:I10)=0,"",IF(MAX(G10:I10)&gt;=5,"Critical",IF(MAX(G10:I10)=4,"High",IF(MAX(G10:I10)=3,"Medium","Low"))))</f>
        <v/>
      </c>
      <c r="K10" s="5" t="inlineStr">
        <is>
          <t>AI-SYS-001</t>
        </is>
      </c>
      <c r="L10" s="5" t="inlineStr">
        <is>
          <t>—</t>
        </is>
      </c>
      <c r="M10" s="5" t="inlineStr">
        <is>
          <t>Named-group access; hashes in dataset record</t>
        </is>
      </c>
      <c r="N10" s="10" t="n">
        <v>46290</v>
      </c>
      <c r="O10" s="5">
        <f>IF(N10="","",IF(N10+365&lt;TODAY(),"Overdue","On track"))</f>
        <v/>
      </c>
    </row>
    <row r="11">
      <c r="A11" s="5" t="inlineStr">
        <is>
          <t>AST-007</t>
        </is>
      </c>
      <c r="B11" s="5" t="inlineStr">
        <is>
          <t>ArtistMatch model, features and evaluation sets</t>
        </is>
      </c>
      <c r="C11" s="5" t="inlineStr">
        <is>
          <t>AI asset</t>
        </is>
      </c>
      <c r="D11" s="5" t="inlineStr">
        <is>
          <t>[Data and ML Lead]</t>
        </is>
      </c>
      <c r="E11" s="5" t="inlineStr">
        <is>
          <t>Confidential</t>
        </is>
      </c>
      <c r="F11" s="5" t="inlineStr">
        <is>
          <t>Model registry</t>
        </is>
      </c>
      <c r="G11" s="5" t="n">
        <v>4</v>
      </c>
      <c r="H11" s="5" t="n">
        <v>5</v>
      </c>
      <c r="I11" s="5" t="n">
        <v>3</v>
      </c>
      <c r="J11" s="5">
        <f>IF(COUNT(G11:I11)=0,"",IF(MAX(G11:I11)&gt;=5,"Critical",IF(MAX(G11:I11)=4,"High",IF(MAX(G11:I11)=3,"Medium","Low"))))</f>
        <v/>
      </c>
      <c r="K11" s="5" t="inlineStr">
        <is>
          <t>AI-SYS-003</t>
        </is>
      </c>
      <c r="L11" s="5" t="inlineStr">
        <is>
          <t>—</t>
        </is>
      </c>
      <c r="M11" s="5" t="inlineStr">
        <is>
          <t>Fairness evaluation sets versioned</t>
        </is>
      </c>
      <c r="N11" s="10" t="n">
        <v>46290</v>
      </c>
      <c r="O11" s="5">
        <f>IF(N11="","",IF(N11+365&lt;TODAY(),"Overdue","On track"))</f>
        <v/>
      </c>
    </row>
    <row r="12">
      <c r="A12" s="5" t="inlineStr">
        <is>
          <t>AST-008</t>
        </is>
      </c>
      <c r="B12" s="5" t="inlineStr">
        <is>
          <t>Foundation-model and image-model API keys and service accounts</t>
        </is>
      </c>
      <c r="C12" s="5" t="inlineStr">
        <is>
          <t>Credentials</t>
        </is>
      </c>
      <c r="D12" s="5" t="inlineStr">
        <is>
          <t>[Platform Engineer]</t>
        </is>
      </c>
      <c r="E12" s="5" t="inlineStr">
        <is>
          <t>Restricted</t>
        </is>
      </c>
      <c r="F12" s="5" t="inlineStr">
        <is>
          <t>Secrets manager</t>
        </is>
      </c>
      <c r="G12" s="5" t="n">
        <v>5</v>
      </c>
      <c r="H12" s="5" t="n">
        <v>4</v>
      </c>
      <c r="I12" s="5" t="n">
        <v>4</v>
      </c>
      <c r="J12" s="5">
        <f>IF(COUNT(G12:I12)=0,"",IF(MAX(G12:I12)&gt;=5,"Critical",IF(MAX(G12:I12)=4,"High",IF(MAX(G12:I12)=3,"Medium","Low"))))</f>
        <v/>
      </c>
      <c r="K12" s="5" t="inlineStr">
        <is>
          <t>AI-SYS-001, AI-SYS-002, AI-SYS-004</t>
        </is>
      </c>
      <c r="L12" s="5" t="inlineStr">
        <is>
          <t>—</t>
        </is>
      </c>
      <c r="M12" s="5" t="inlineStr">
        <is>
          <t>Secrets manager; rotate every 90 days</t>
        </is>
      </c>
      <c r="N12" s="10" t="n">
        <v>46290</v>
      </c>
      <c r="O12" s="5">
        <f>IF(N12="","",IF(N12+365&lt;TODAY(),"Overdue","On track"))</f>
        <v/>
      </c>
    </row>
    <row r="13">
      <c r="A13" s="5" t="inlineStr">
        <is>
          <t>AST-009</t>
        </is>
      </c>
      <c r="B13" s="5" t="inlineStr">
        <is>
          <t>Company source code repositories</t>
        </is>
      </c>
      <c r="C13" s="5" t="inlineStr">
        <is>
          <t>Software</t>
        </is>
      </c>
      <c r="D13" s="5" t="inlineStr">
        <is>
          <t>[CTO]</t>
        </is>
      </c>
      <c r="E13" s="5" t="inlineStr">
        <is>
          <t>Confidential</t>
        </is>
      </c>
      <c r="F13" s="5" t="inlineStr">
        <is>
          <t>GitHub</t>
        </is>
      </c>
      <c r="G13" s="5" t="n">
        <v>4</v>
      </c>
      <c r="H13" s="5" t="n">
        <v>4</v>
      </c>
      <c r="I13" s="5" t="n">
        <v>3</v>
      </c>
      <c r="J13" s="5">
        <f>IF(COUNT(G13:I13)=0,"",IF(MAX(G13:I13)&gt;=5,"Critical",IF(MAX(G13:I13)=4,"High",IF(MAX(G13:I13)=3,"Medium","Low"))))</f>
        <v/>
      </c>
      <c r="K13" s="5" t="inlineStr">
        <is>
          <t>AI-SYS-005</t>
        </is>
      </c>
      <c r="L13" s="5" t="inlineStr">
        <is>
          <t>RSK-IS-003</t>
        </is>
      </c>
      <c r="M13" s="5" t="inlineStr">
        <is>
          <t>Private repos; secret scanning with push protection</t>
        </is>
      </c>
      <c r="N13" s="10" t="n">
        <v>46290</v>
      </c>
      <c r="O13" s="5">
        <f>IF(N13="","",IF(N13+365&lt;TODAY(),"Overdue","On track"))</f>
        <v/>
      </c>
    </row>
    <row r="14">
      <c r="A14" s="5" t="inlineStr">
        <is>
          <t>AST-010</t>
        </is>
      </c>
      <c r="B14" s="5" t="inlineStr">
        <is>
          <t>Staff identities, SSO and company laptops</t>
        </is>
      </c>
      <c r="C14" s="5" t="inlineStr">
        <is>
          <t>Identity / endpoints</t>
        </is>
      </c>
      <c r="D14" s="5" t="inlineStr">
        <is>
          <t>[Security Lead]</t>
        </is>
      </c>
      <c r="E14" s="5" t="inlineStr">
        <is>
          <t>Confidential</t>
        </is>
      </c>
      <c r="F14" s="5" t="inlineStr">
        <is>
          <t>Identity provider, MDM</t>
        </is>
      </c>
      <c r="G14" s="5" t="n">
        <v>4</v>
      </c>
      <c r="H14" s="5" t="n">
        <v>4</v>
      </c>
      <c r="I14" s="5" t="n">
        <v>4</v>
      </c>
      <c r="J14" s="5">
        <f>IF(COUNT(G14:I14)=0,"",IF(MAX(G14:I14)&gt;=5,"Critical",IF(MAX(G14:I14)=4,"High",IF(MAX(G14:I14)=3,"Medium","Low"))))</f>
        <v/>
      </c>
      <c r="K14" s="5" t="inlineStr">
        <is>
          <t>—</t>
        </is>
      </c>
      <c r="L14" s="5" t="inlineStr">
        <is>
          <t>RSK-IS-002</t>
        </is>
      </c>
      <c r="M14" s="5" t="inlineStr">
        <is>
          <t>Passkeys; MDM; EDR</t>
        </is>
      </c>
      <c r="N14" s="10" t="n">
        <v>46290</v>
      </c>
      <c r="O14" s="5">
        <f>IF(N14="","",IF(N14+365&lt;TODAY(),"Overdue","On track"))</f>
        <v/>
      </c>
    </row>
    <row r="15">
      <c r="A15" s="5" t="inlineStr">
        <is>
          <t>AST-011</t>
        </is>
      </c>
      <c r="B15" s="5" t="inlineStr">
        <is>
          <t>Business records (finance, HR, contracts)</t>
        </is>
      </c>
      <c r="C15" s="5" t="inlineStr">
        <is>
          <t>Business data</t>
        </is>
      </c>
      <c r="D15" s="5" t="inlineStr">
        <is>
          <t>[People and Operations Lead]</t>
        </is>
      </c>
      <c r="E15" s="5" t="inlineStr">
        <is>
          <t>Confidential</t>
        </is>
      </c>
      <c r="F15" s="5" t="inlineStr">
        <is>
          <t>SaaS suite</t>
        </is>
      </c>
      <c r="G15" s="5" t="n">
        <v>4</v>
      </c>
      <c r="H15" s="5" t="n">
        <v>3</v>
      </c>
      <c r="I15" s="5" t="n">
        <v>3</v>
      </c>
      <c r="J15" s="5">
        <f>IF(COUNT(G15:I15)=0,"",IF(MAX(G15:I15)&gt;=5,"Critical",IF(MAX(G15:I15)=4,"High",IF(MAX(G15:I15)=3,"Medium","Low"))))</f>
        <v/>
      </c>
      <c r="K15" s="5" t="inlineStr">
        <is>
          <t>—</t>
        </is>
      </c>
      <c r="L15" s="5" t="inlineStr">
        <is>
          <t>—</t>
        </is>
      </c>
      <c r="M15" s="5" t="inlineStr">
        <is>
          <t>SaaS suite with SSO; DLP rules</t>
        </is>
      </c>
      <c r="N15" s="10" t="n">
        <v>46290</v>
      </c>
      <c r="O15" s="5">
        <f>IF(N15="","",IF(N15+365&lt;TODAY(),"Overdue","On track"))</f>
        <v/>
      </c>
    </row>
    <row r="16">
      <c r="A16" s="5" t="inlineStr">
        <is>
          <t>AST-012</t>
        </is>
      </c>
      <c r="B16" s="5" t="inlineStr">
        <is>
          <t>Logs and monitoring data (application, security, AI output logs)</t>
        </is>
      </c>
      <c r="C16" s="5" t="inlineStr">
        <is>
          <t>Operational data</t>
        </is>
      </c>
      <c r="D16" s="5" t="inlineStr">
        <is>
          <t>[Platform Engineer]</t>
        </is>
      </c>
      <c r="E16" s="5" t="inlineStr">
        <is>
          <t>Confidential</t>
        </is>
      </c>
      <c r="F16" s="5" t="inlineStr">
        <is>
          <t>Log platform</t>
        </is>
      </c>
      <c r="G16" s="5" t="n">
        <v>4</v>
      </c>
      <c r="H16" s="5" t="n">
        <v>4</v>
      </c>
      <c r="I16" s="5" t="n">
        <v>3</v>
      </c>
      <c r="J16" s="5">
        <f>IF(COUNT(G16:I16)=0,"",IF(MAX(G16:I16)&gt;=5,"Critical",IF(MAX(G16:I16)=4,"High",IF(MAX(G16:I16)=3,"Medium","Low"))))</f>
        <v/>
      </c>
      <c r="K16" s="5" t="inlineStr">
        <is>
          <t>All</t>
        </is>
      </c>
      <c r="L16" s="5" t="inlineStr">
        <is>
          <t>—</t>
        </is>
      </c>
      <c r="M16" s="5" t="inlineStr">
        <is>
          <t>Retention 90 days for AI output logs; tamper-evident</t>
        </is>
      </c>
      <c r="N16" s="10" t="n">
        <v>46290</v>
      </c>
      <c r="O16" s="5">
        <f>IF(N16="","",IF(N16+365&lt;TODAY(),"Overdue","On track"))</f>
        <v/>
      </c>
    </row>
    <row r="17">
      <c r="A17" s="5" t="inlineStr">
        <is>
          <t>AST-013</t>
        </is>
      </c>
      <c r="B17" s="5" t="inlineStr">
        <is>
          <t>Quillfen API and API keys issued to enterprise customers</t>
        </is>
      </c>
      <c r="C17" s="5" t="inlineStr">
        <is>
          <t>Software + credentials</t>
        </is>
      </c>
      <c r="D17" s="5" t="inlineStr">
        <is>
          <t>[CTO]</t>
        </is>
      </c>
      <c r="E17" s="5" t="inlineStr">
        <is>
          <t>Restricted</t>
        </is>
      </c>
      <c r="F17" s="5" t="inlineStr">
        <is>
          <t>AWS, secrets manager</t>
        </is>
      </c>
      <c r="G17" s="5" t="n">
        <v>5</v>
      </c>
      <c r="H17" s="5" t="n">
        <v>4</v>
      </c>
      <c r="I17" s="5" t="n">
        <v>5</v>
      </c>
      <c r="J17" s="5">
        <f>IF(COUNT(G17:I17)=0,"",IF(MAX(G17:I17)&gt;=5,"Critical",IF(MAX(G17:I17)=4,"High",IF(MAX(G17:I17)=3,"Medium","Low"))))</f>
        <v/>
      </c>
      <c r="K17" s="5" t="inlineStr">
        <is>
          <t>AI-SYS-001, AI-SYS-002</t>
        </is>
      </c>
      <c r="L17" s="5" t="inlineStr">
        <is>
          <t>—</t>
        </is>
      </c>
      <c r="M17" s="5" t="inlineStr">
        <is>
          <t>Keys scoped per customer; quotas and rate limits</t>
        </is>
      </c>
      <c r="N17" s="10" t="n">
        <v>46290</v>
      </c>
      <c r="O17" s="5">
        <f>IF(N17="","",IF(N17+365&lt;TODAY(),"Overdue","On track"))</f>
        <v/>
      </c>
    </row>
    <row r="18">
      <c r="A18" s="5" t="inlineStr">
        <is>
          <t>AST-014</t>
        </is>
      </c>
      <c r="B18" s="5" t="inlineStr">
        <is>
          <t>CI/CD pipelines, build runners and signing keys</t>
        </is>
      </c>
      <c r="C18" s="5" t="inlineStr">
        <is>
          <t>Service / infrastructure</t>
        </is>
      </c>
      <c r="D18" s="5" t="inlineStr">
        <is>
          <t>[Platform Engineer]</t>
        </is>
      </c>
      <c r="E18" s="5" t="inlineStr">
        <is>
          <t>Restricted</t>
        </is>
      </c>
      <c r="F18" s="5" t="inlineStr">
        <is>
          <t>GitHub, AWS</t>
        </is>
      </c>
      <c r="G18" s="5" t="n">
        <v>4</v>
      </c>
      <c r="H18" s="5" t="n">
        <v>5</v>
      </c>
      <c r="I18" s="5" t="n">
        <v>4</v>
      </c>
      <c r="J18" s="5">
        <f>IF(COUNT(G18:I18)=0,"",IF(MAX(G18:I18)&gt;=5,"Critical",IF(MAX(G18:I18)=4,"High",IF(MAX(G18:I18)=3,"Medium","Low"))))</f>
        <v/>
      </c>
      <c r="K18" s="5" t="inlineStr">
        <is>
          <t>—</t>
        </is>
      </c>
      <c r="L18" s="5" t="inlineStr">
        <is>
          <t>—</t>
        </is>
      </c>
      <c r="M18" s="5" t="inlineStr">
        <is>
          <t>Runners ephemeral; OIDC to AWS; no long-lived keys</t>
        </is>
      </c>
      <c r="N18" s="10" t="n">
        <v>46290</v>
      </c>
      <c r="O18" s="5">
        <f>IF(N18="","",IF(N18+365&lt;TODAY(),"Overdue","On track"))</f>
        <v/>
      </c>
    </row>
    <row r="19">
      <c r="A19" s="5" t="inlineStr">
        <is>
          <t>AST-015</t>
        </is>
      </c>
      <c r="B19" s="5" t="inlineStr">
        <is>
          <t>Backups and snapshots (databases, S3, model registry)</t>
        </is>
      </c>
      <c r="C19" s="5" t="inlineStr">
        <is>
          <t>Data copy</t>
        </is>
      </c>
      <c r="D19" s="5" t="inlineStr">
        <is>
          <t>[Platform Engineer]</t>
        </is>
      </c>
      <c r="E19" s="5" t="inlineStr">
        <is>
          <t>Restricted</t>
        </is>
      </c>
      <c r="F19" s="5" t="inlineStr">
        <is>
          <t>AWS (separate backup account)</t>
        </is>
      </c>
      <c r="G19" s="5" t="n">
        <v>5</v>
      </c>
      <c r="H19" s="5" t="n">
        <v>5</v>
      </c>
      <c r="I19" s="5" t="n">
        <v>5</v>
      </c>
      <c r="J19" s="5">
        <f>IF(COUNT(G19:I19)=0,"",IF(MAX(G19:I19)&gt;=5,"Critical",IF(MAX(G19:I19)=4,"High",IF(MAX(G19:I19)=3,"Medium","Low"))))</f>
        <v/>
      </c>
      <c r="K19" s="5" t="inlineStr">
        <is>
          <t>All</t>
        </is>
      </c>
      <c r="L19" s="5" t="inlineStr">
        <is>
          <t>—</t>
        </is>
      </c>
      <c r="M19" s="5" t="inlineStr">
        <is>
          <t>Immutable, cross-account; restore tested quarterly</t>
        </is>
      </c>
      <c r="N19" s="10" t="n">
        <v>46290</v>
      </c>
      <c r="O19" s="5">
        <f>IF(N19="","",IF(N19+365&lt;TODAY(),"Overdue","On track"))</f>
        <v/>
      </c>
    </row>
    <row r="20">
      <c r="A20" s="5" t="inlineStr">
        <is>
          <t>AST-016</t>
        </is>
      </c>
      <c r="B20" s="5" t="inlineStr">
        <is>
          <t>Consent and licence ledger and opt-out log</t>
        </is>
      </c>
      <c r="C20" s="5" t="inlineStr">
        <is>
          <t>Records</t>
        </is>
      </c>
      <c r="D20" s="5" t="inlineStr">
        <is>
          <t>[Data and ML Lead]</t>
        </is>
      </c>
      <c r="E20" s="5" t="inlineStr">
        <is>
          <t>Restricted</t>
        </is>
      </c>
      <c r="F20" s="5" t="inlineStr">
        <is>
          <t>Ledger database</t>
        </is>
      </c>
      <c r="G20" s="5" t="n">
        <v>4</v>
      </c>
      <c r="H20" s="5" t="n">
        <v>5</v>
      </c>
      <c r="I20" s="5" t="n">
        <v>3</v>
      </c>
      <c r="J20" s="5">
        <f>IF(COUNT(G20:I20)=0,"",IF(MAX(G20:I20)&gt;=5,"Critical",IF(MAX(G20:I20)=4,"High",IF(MAX(G20:I20)=3,"Medium","Low"))))</f>
        <v/>
      </c>
      <c r="K20" s="5" t="inlineStr">
        <is>
          <t>AI-SYS-001, AI-SYS-003</t>
        </is>
      </c>
      <c r="L20" s="5" t="inlineStr">
        <is>
          <t>—</t>
        </is>
      </c>
      <c r="M20" s="5" t="inlineStr">
        <is>
          <t>Append-only; daily export to backup</t>
        </is>
      </c>
      <c r="N20" s="10" t="n">
        <v>46290</v>
      </c>
      <c r="O20" s="5">
        <f>IF(N20="","",IF(N20+365&lt;TODAY(),"Overdue","On track"))</f>
        <v/>
      </c>
    </row>
    <row r="21">
      <c r="A21" s="5" t="inlineStr">
        <is>
          <t>AST-017</t>
        </is>
      </c>
      <c r="B21" s="5" t="inlineStr">
        <is>
          <t>SafeFrame canary and red-team test sets (incl. likeness set)</t>
        </is>
      </c>
      <c r="C21" s="5" t="inlineStr">
        <is>
          <t>AI asset (evaluation data)</t>
        </is>
      </c>
      <c r="D21" s="5" t="inlineStr">
        <is>
          <t>[Creative Director]</t>
        </is>
      </c>
      <c r="E21" s="5" t="inlineStr">
        <is>
          <t>Restricted</t>
        </is>
      </c>
      <c r="F21" s="5" t="inlineStr">
        <is>
          <t>Model registry</t>
        </is>
      </c>
      <c r="G21" s="5" t="n">
        <v>4</v>
      </c>
      <c r="H21" s="5" t="n">
        <v>5</v>
      </c>
      <c r="I21" s="5" t="n">
        <v>3</v>
      </c>
      <c r="J21" s="5">
        <f>IF(COUNT(G21:I21)=0,"",IF(MAX(G21:I21)&gt;=5,"Critical",IF(MAX(G21:I21)=4,"High",IF(MAX(G21:I21)=3,"Medium","Low"))))</f>
        <v/>
      </c>
      <c r="K21" s="5" t="inlineStr">
        <is>
          <t>AI-SYS-004, AI-SYS-001</t>
        </is>
      </c>
      <c r="L21" s="5" t="inlineStr">
        <is>
          <t>—</t>
        </is>
      </c>
      <c r="M21" s="5" t="inlineStr">
        <is>
          <t>Restricted access; harmful samples hashed, not viewable</t>
        </is>
      </c>
      <c r="N21" s="10" t="n">
        <v>46290</v>
      </c>
      <c r="O21" s="5">
        <f>IF(N21="","",IF(N21+365&lt;TODAY(),"Overdue","On track"))</f>
        <v/>
      </c>
    </row>
    <row r="22">
      <c r="A22" s="5" t="inlineStr">
        <is>
          <t>AST-018</t>
        </is>
      </c>
      <c r="B22" s="5" t="inlineStr">
        <is>
          <t>Prompt templates and system prompts for ScriptMate and StoryFrame</t>
        </is>
      </c>
      <c r="C22" s="5" t="inlineStr">
        <is>
          <t>AI asset (configuration)</t>
        </is>
      </c>
      <c r="D22" s="5" t="inlineStr">
        <is>
          <t>[Head of AI]</t>
        </is>
      </c>
      <c r="E22" s="5" t="inlineStr">
        <is>
          <t>Confidential</t>
        </is>
      </c>
      <c r="F22" s="5" t="inlineStr">
        <is>
          <t>GitHub</t>
        </is>
      </c>
      <c r="G22" s="5" t="n">
        <v>3</v>
      </c>
      <c r="H22" s="5" t="n">
        <v>4</v>
      </c>
      <c r="I22" s="5" t="n">
        <v>3</v>
      </c>
      <c r="J22" s="5">
        <f>IF(COUNT(G22:I22)=0,"",IF(MAX(G22:I22)&gt;=5,"Critical",IF(MAX(G22:I22)=4,"High",IF(MAX(G22:I22)=3,"Medium","Low"))))</f>
        <v/>
      </c>
      <c r="K22" s="5" t="inlineStr">
        <is>
          <t>AI-SYS-001, AI-SYS-002</t>
        </is>
      </c>
      <c r="L22" s="5" t="inlineStr">
        <is>
          <t>—</t>
        </is>
      </c>
      <c r="M22" s="5" t="inlineStr">
        <is>
          <t>Changes via pull request; prompt-injection tests</t>
        </is>
      </c>
      <c r="N22" s="10" t="n">
        <v>46290</v>
      </c>
      <c r="O22" s="5">
        <f>IF(N22="","",IF(N22+365&lt;TODAY(),"Overdue","On track"))</f>
        <v/>
      </c>
    </row>
    <row r="23">
      <c r="A23" s="5" t="inlineStr">
        <is>
          <t>AST-019</t>
        </is>
      </c>
      <c r="B23" s="5" t="inlineStr">
        <is>
          <t>Customer and artist support tickets</t>
        </is>
      </c>
      <c r="C23" s="5" t="inlineStr">
        <is>
          <t>Customer data + personal data</t>
        </is>
      </c>
      <c r="D23" s="5" t="inlineStr">
        <is>
          <t>[People and Operations Lead]</t>
        </is>
      </c>
      <c r="E23" s="5" t="inlineStr">
        <is>
          <t>Confidential</t>
        </is>
      </c>
      <c r="F23" s="5" t="inlineStr">
        <is>
          <t>Help-desk SaaS</t>
        </is>
      </c>
      <c r="G23" s="5" t="n">
        <v>4</v>
      </c>
      <c r="H23" s="5" t="n">
        <v>3</v>
      </c>
      <c r="I23" s="5" t="n">
        <v>3</v>
      </c>
      <c r="J23" s="5">
        <f>IF(COUNT(G23:I23)=0,"",IF(MAX(G23:I23)&gt;=5,"Critical",IF(MAX(G23:I23)=4,"High",IF(MAX(G23:I23)=3,"Medium","Low"))))</f>
        <v/>
      </c>
      <c r="K23" s="5" t="inlineStr">
        <is>
          <t>—</t>
        </is>
      </c>
      <c r="L23" s="5" t="inlineStr">
        <is>
          <t>—</t>
        </is>
      </c>
      <c r="M23" s="5" t="inlineStr">
        <is>
          <t>Masking of IDs; 2-year retention</t>
        </is>
      </c>
      <c r="N23" s="10" t="n">
        <v>45870</v>
      </c>
      <c r="O23" s="5">
        <f>IF(N23="","",IF(N23+365&lt;TODAY(),"Overdue","On track"))</f>
        <v/>
      </c>
    </row>
    <row r="24">
      <c r="A24" s="5" t="inlineStr">
        <is>
          <t>AST-020</t>
        </is>
      </c>
      <c r="B24" s="5" t="inlineStr">
        <is>
          <t>Company website and public documentation</t>
        </is>
      </c>
      <c r="C24" s="5" t="inlineStr">
        <is>
          <t>Public information</t>
        </is>
      </c>
      <c r="D24" s="5" t="inlineStr">
        <is>
          <t>[Creative Director]</t>
        </is>
      </c>
      <c r="E24" s="5" t="inlineStr">
        <is>
          <t>Public</t>
        </is>
      </c>
      <c r="F24" s="5" t="inlineStr">
        <is>
          <t>Static hosting</t>
        </is>
      </c>
      <c r="G24" s="5" t="n">
        <v>1</v>
      </c>
      <c r="H24" s="5" t="n">
        <v>4</v>
      </c>
      <c r="I24" s="5" t="n">
        <v>3</v>
      </c>
      <c r="J24" s="5">
        <f>IF(COUNT(G24:I24)=0,"",IF(MAX(G24:I24)&gt;=5,"Critical",IF(MAX(G24:I24)=4,"High",IF(MAX(G24:I24)=3,"Medium","Low"))))</f>
        <v/>
      </c>
      <c r="K24" s="5" t="inlineStr">
        <is>
          <t>—</t>
        </is>
      </c>
      <c r="L24" s="5" t="inlineStr">
        <is>
          <t>—</t>
        </is>
      </c>
      <c r="M24" s="5" t="inlineStr">
        <is>
          <t>Change approval by Creative Director</t>
        </is>
      </c>
      <c r="N24" s="10" t="n">
        <v>46290</v>
      </c>
      <c r="O24" s="5">
        <f>IF(N24="","",IF(N24+365&lt;TODAY(),"Overdue","On track"))</f>
        <v/>
      </c>
    </row>
    <row r="25">
      <c r="A25" s="5" t="inlineStr">
        <is>
          <t>AST-021</t>
        </is>
      </c>
      <c r="B25" s="5" t="inlineStr">
        <is>
          <t>Policies, procedures and management-system records</t>
        </is>
      </c>
      <c r="C25" s="5" t="inlineStr">
        <is>
          <t>Documented information</t>
        </is>
      </c>
      <c r="D25" s="5" t="inlineStr">
        <is>
          <t>[Compliance Coordinator]</t>
        </is>
      </c>
      <c r="E25" s="5" t="inlineStr">
        <is>
          <t>Internal</t>
        </is>
      </c>
      <c r="F25" s="5" t="inlineStr">
        <is>
          <t>Company drive</t>
        </is>
      </c>
      <c r="G25" s="5" t="n">
        <v>2</v>
      </c>
      <c r="H25" s="5" t="n">
        <v>4</v>
      </c>
      <c r="I25" s="5" t="n">
        <v>2</v>
      </c>
      <c r="J25" s="5">
        <f>IF(COUNT(G25:I25)=0,"",IF(MAX(G25:I25)&gt;=5,"Critical",IF(MAX(G25:I25)=4,"High",IF(MAX(G25:I25)=3,"Medium","Low"))))</f>
        <v/>
      </c>
      <c r="K25" s="5" t="inlineStr">
        <is>
          <t>—</t>
        </is>
      </c>
      <c r="L25" s="5" t="inlineStr">
        <is>
          <t>—</t>
        </is>
      </c>
      <c r="M25" s="5" t="inlineStr">
        <is>
          <t>Version-controlled per IMS-PRO-004</t>
        </is>
      </c>
      <c r="N25" s="10" t="n">
        <v>46290</v>
      </c>
      <c r="O25" s="5">
        <f>IF(N25="","",IF(N25+365&lt;TODAY(),"Overdue","On track"))</f>
        <v/>
      </c>
    </row>
    <row r="26">
      <c r="A26" s="5" t="inlineStr">
        <is>
          <t>AST-022</t>
        </is>
      </c>
      <c r="B26" s="5" t="inlineStr">
        <is>
          <t>Brand assets and company-owned illustration library</t>
        </is>
      </c>
      <c r="C26" s="5" t="inlineStr">
        <is>
          <t>Intellectual property</t>
        </is>
      </c>
      <c r="D26" s="5" t="inlineStr">
        <is>
          <t>[Creative Director]</t>
        </is>
      </c>
      <c r="E26" s="5" t="inlineStr">
        <is>
          <t>Internal</t>
        </is>
      </c>
      <c r="F26" s="5" t="inlineStr">
        <is>
          <t>Company drive</t>
        </is>
      </c>
      <c r="G26" s="5" t="n">
        <v>2</v>
      </c>
      <c r="H26" s="5" t="n">
        <v>3</v>
      </c>
      <c r="I26" s="5" t="n">
        <v>2</v>
      </c>
      <c r="J26" s="5">
        <f>IF(COUNT(G26:I26)=0,"",IF(MAX(G26:I26)&gt;=5,"Critical",IF(MAX(G26:I26)=4,"High",IF(MAX(G26:I26)=3,"Medium","Low"))))</f>
        <v/>
      </c>
      <c r="K26" s="5" t="inlineStr">
        <is>
          <t>—</t>
        </is>
      </c>
      <c r="L26" s="5" t="inlineStr">
        <is>
          <t>—</t>
        </is>
      </c>
      <c r="M26" s="5" t="inlineStr">
        <is>
          <t>Licence terms recorded</t>
        </is>
      </c>
      <c r="N26" s="10" t="n">
        <v>46290</v>
      </c>
      <c r="O26" s="5">
        <f>IF(N26="","",IF(N26+365&lt;TODAY(),"Overdue","On track"))</f>
        <v/>
      </c>
    </row>
    <row r="27">
      <c r="A27" s="11" t="inlineStr">
        <is>
          <t>[AST-0xx]</t>
        </is>
      </c>
      <c r="B27" s="11" t="inlineStr">
        <is>
          <t>[asset name]</t>
        </is>
      </c>
      <c r="C27" s="11" t="inlineStr">
        <is>
          <t>[type]</t>
        </is>
      </c>
      <c r="D27" s="11" t="inlineStr">
        <is>
          <t>[owner]</t>
        </is>
      </c>
      <c r="E27" s="11" t="inlineStr">
        <is>
          <t>[class]</t>
        </is>
      </c>
      <c r="F27" s="11" t="inlineStr">
        <is>
          <t>[location]</t>
        </is>
      </c>
      <c r="G27" s="11" t="inlineStr">
        <is>
          <t>[1-5]</t>
        </is>
      </c>
      <c r="H27" s="11" t="inlineStr">
        <is>
          <t>[1-5]</t>
        </is>
      </c>
      <c r="I27" s="11" t="inlineStr">
        <is>
          <t>[1-5]</t>
        </is>
      </c>
      <c r="J27" s="5">
        <f>IF(COUNT(G27:I27)=0,"",IF(MAX(G27:I27)&gt;=5,"Critical",IF(MAX(G27:I27)=4,"High",IF(MAX(G27:I27)=3,"Medium","Low"))))</f>
        <v/>
      </c>
      <c r="K27" s="11" t="inlineStr">
        <is>
          <t>[AI system]</t>
        </is>
      </c>
      <c r="L27" s="11" t="inlineStr">
        <is>
          <t>[risk IDs]</t>
        </is>
      </c>
      <c r="M27" s="11" t="inlineStr">
        <is>
          <t>[handling]</t>
        </is>
      </c>
      <c r="N27" s="11" t="inlineStr">
        <is>
          <t>[date]</t>
        </is>
      </c>
      <c r="O27" s="5">
        <f>IF(N27="","",IF(N27+365&lt;TODAY(),"Overdue","On track"))</f>
        <v/>
      </c>
    </row>
    <row r="28">
      <c r="A28" s="5" t="n"/>
      <c r="B28" s="5" t="n"/>
      <c r="C28" s="5" t="n"/>
      <c r="D28" s="5" t="n"/>
      <c r="E28" s="5" t="n"/>
      <c r="F28" s="5" t="n"/>
      <c r="G28" s="5" t="n"/>
      <c r="H28" s="5" t="n"/>
      <c r="I28" s="5" t="n"/>
      <c r="J28" s="5">
        <f>IF(COUNT(G28:I28)=0,"",IF(MAX(G28:I28)&gt;=5,"Critical",IF(MAX(G28:I28)=4,"High",IF(MAX(G28:I28)=3,"Medium","Low"))))</f>
        <v/>
      </c>
      <c r="K28" s="5" t="n"/>
      <c r="L28" s="5" t="n"/>
      <c r="M28" s="5" t="n"/>
      <c r="N28" s="5" t="n"/>
      <c r="O28" s="5">
        <f>IF(N28="","",IF(N28+365&lt;TODAY(),"Overdue","On track"))</f>
        <v/>
      </c>
    </row>
    <row r="29">
      <c r="A29" s="5" t="n"/>
      <c r="B29" s="5" t="n"/>
      <c r="C29" s="5" t="n"/>
      <c r="D29" s="5" t="n"/>
      <c r="E29" s="5" t="n"/>
      <c r="F29" s="5" t="n"/>
      <c r="G29" s="5" t="n"/>
      <c r="H29" s="5" t="n"/>
      <c r="I29" s="5" t="n"/>
      <c r="J29" s="5">
        <f>IF(COUNT(G29:I29)=0,"",IF(MAX(G29:I29)&gt;=5,"Critical",IF(MAX(G29:I29)=4,"High",IF(MAX(G29:I29)=3,"Medium","Low"))))</f>
        <v/>
      </c>
      <c r="K29" s="5" t="n"/>
      <c r="L29" s="5" t="n"/>
      <c r="M29" s="5" t="n"/>
      <c r="N29" s="5" t="n"/>
      <c r="O29" s="5">
        <f>IF(N29="","",IF(N29+365&lt;TODAY(),"Overdue","On track"))</f>
        <v/>
      </c>
    </row>
    <row r="30">
      <c r="A30" s="5" t="n"/>
      <c r="B30" s="5" t="n"/>
      <c r="C30" s="5" t="n"/>
      <c r="D30" s="5" t="n"/>
      <c r="E30" s="5" t="n"/>
      <c r="F30" s="5" t="n"/>
      <c r="G30" s="5" t="n"/>
      <c r="H30" s="5" t="n"/>
      <c r="I30" s="5" t="n"/>
      <c r="J30" s="5">
        <f>IF(COUNT(G30:I30)=0,"",IF(MAX(G30:I30)&gt;=5,"Critical",IF(MAX(G30:I30)=4,"High",IF(MAX(G30:I30)=3,"Medium","Low"))))</f>
        <v/>
      </c>
      <c r="K30" s="5" t="n"/>
      <c r="L30" s="5" t="n"/>
      <c r="M30" s="5" t="n"/>
      <c r="N30" s="5" t="n"/>
      <c r="O30" s="5">
        <f>IF(N30="","",IF(N30+365&lt;TODAY(),"Overdue","On track"))</f>
        <v/>
      </c>
    </row>
    <row r="31">
      <c r="A31" s="5" t="n"/>
      <c r="B31" s="5" t="n"/>
      <c r="C31" s="5" t="n"/>
      <c r="D31" s="5" t="n"/>
      <c r="E31" s="5" t="n"/>
      <c r="F31" s="5" t="n"/>
      <c r="G31" s="5" t="n"/>
      <c r="H31" s="5" t="n"/>
      <c r="I31" s="5" t="n"/>
      <c r="J31" s="5">
        <f>IF(COUNT(G31:I31)=0,"",IF(MAX(G31:I31)&gt;=5,"Critical",IF(MAX(G31:I31)=4,"High",IF(MAX(G31:I31)=3,"Medium","Low"))))</f>
        <v/>
      </c>
      <c r="K31" s="5" t="n"/>
      <c r="L31" s="5" t="n"/>
      <c r="M31" s="5" t="n"/>
      <c r="N31" s="5" t="n"/>
      <c r="O31" s="5">
        <f>IF(N31="","",IF(N31+365&lt;TODAY(),"Overdue","On track"))</f>
        <v/>
      </c>
    </row>
    <row r="32">
      <c r="A32" s="5" t="n"/>
      <c r="B32" s="5" t="n"/>
      <c r="C32" s="5" t="n"/>
      <c r="D32" s="5" t="n"/>
      <c r="E32" s="5" t="n"/>
      <c r="F32" s="5" t="n"/>
      <c r="G32" s="5" t="n"/>
      <c r="H32" s="5" t="n"/>
      <c r="I32" s="5" t="n"/>
      <c r="J32" s="5">
        <f>IF(COUNT(G32:I32)=0,"",IF(MAX(G32:I32)&gt;=5,"Critical",IF(MAX(G32:I32)=4,"High",IF(MAX(G32:I32)=3,"Medium","Low"))))</f>
        <v/>
      </c>
      <c r="K32" s="5" t="n"/>
      <c r="L32" s="5" t="n"/>
      <c r="M32" s="5" t="n"/>
      <c r="N32" s="5" t="n"/>
      <c r="O32" s="5">
        <f>IF(N32="","",IF(N32+365&lt;TODAY(),"Overdue","On track"))</f>
        <v/>
      </c>
    </row>
    <row r="33">
      <c r="A33" s="5" t="n"/>
      <c r="B33" s="5" t="n"/>
      <c r="C33" s="5" t="n"/>
      <c r="D33" s="5" t="n"/>
      <c r="E33" s="5" t="n"/>
      <c r="F33" s="5" t="n"/>
      <c r="G33" s="5" t="n"/>
      <c r="H33" s="5" t="n"/>
      <c r="I33" s="5" t="n"/>
      <c r="J33" s="5">
        <f>IF(COUNT(G33:I33)=0,"",IF(MAX(G33:I33)&gt;=5,"Critical",IF(MAX(G33:I33)=4,"High",IF(MAX(G33:I33)=3,"Medium","Low"))))</f>
        <v/>
      </c>
      <c r="K33" s="5" t="n"/>
      <c r="L33" s="5" t="n"/>
      <c r="M33" s="5" t="n"/>
      <c r="N33" s="5" t="n"/>
      <c r="O33" s="5">
        <f>IF(N33="","",IF(N33+365&lt;TODAY(),"Overdue","On track"))</f>
        <v/>
      </c>
    </row>
    <row r="34">
      <c r="A34" s="5" t="n"/>
      <c r="B34" s="5" t="n"/>
      <c r="C34" s="5" t="n"/>
      <c r="D34" s="5" t="n"/>
      <c r="E34" s="5" t="n"/>
      <c r="F34" s="5" t="n"/>
      <c r="G34" s="5" t="n"/>
      <c r="H34" s="5" t="n"/>
      <c r="I34" s="5" t="n"/>
      <c r="J34" s="5">
        <f>IF(COUNT(G34:I34)=0,"",IF(MAX(G34:I34)&gt;=5,"Critical",IF(MAX(G34:I34)=4,"High",IF(MAX(G34:I34)=3,"Medium","Low"))))</f>
        <v/>
      </c>
      <c r="K34" s="5" t="n"/>
      <c r="L34" s="5" t="n"/>
      <c r="M34" s="5" t="n"/>
      <c r="N34" s="5" t="n"/>
      <c r="O34" s="5">
        <f>IF(N34="","",IF(N34+365&lt;TODAY(),"Overdue","On track"))</f>
        <v/>
      </c>
    </row>
    <row r="35">
      <c r="A35" s="5" t="n"/>
      <c r="B35" s="5" t="n"/>
      <c r="C35" s="5" t="n"/>
      <c r="D35" s="5" t="n"/>
      <c r="E35" s="5" t="n"/>
      <c r="F35" s="5" t="n"/>
      <c r="G35" s="5" t="n"/>
      <c r="H35" s="5" t="n"/>
      <c r="I35" s="5" t="n"/>
      <c r="J35" s="5">
        <f>IF(COUNT(G35:I35)=0,"",IF(MAX(G35:I35)&gt;=5,"Critical",IF(MAX(G35:I35)=4,"High",IF(MAX(G35:I35)=3,"Medium","Low"))))</f>
        <v/>
      </c>
      <c r="K35" s="5" t="n"/>
      <c r="L35" s="5" t="n"/>
      <c r="M35" s="5" t="n"/>
      <c r="N35" s="5" t="n"/>
      <c r="O35" s="5">
        <f>IF(N35="","",IF(N35+365&lt;TODAY(),"Overdue","On track"))</f>
        <v/>
      </c>
    </row>
    <row r="36">
      <c r="A36" s="5" t="n"/>
      <c r="B36" s="5" t="n"/>
      <c r="C36" s="5" t="n"/>
      <c r="D36" s="5" t="n"/>
      <c r="E36" s="5" t="n"/>
      <c r="F36" s="5" t="n"/>
      <c r="G36" s="5" t="n"/>
      <c r="H36" s="5" t="n"/>
      <c r="I36" s="5" t="n"/>
      <c r="J36" s="5">
        <f>IF(COUNT(G36:I36)=0,"",IF(MAX(G36:I36)&gt;=5,"Critical",IF(MAX(G36:I36)=4,"High",IF(MAX(G36:I36)=3,"Medium","Low"))))</f>
        <v/>
      </c>
      <c r="K36" s="5" t="n"/>
      <c r="L36" s="5" t="n"/>
      <c r="M36" s="5" t="n"/>
      <c r="N36" s="5" t="n"/>
      <c r="O36" s="5">
        <f>IF(N36="","",IF(N36+365&lt;TODAY(),"Overdue","On track"))</f>
        <v/>
      </c>
    </row>
    <row r="37">
      <c r="A37" s="5" t="n"/>
      <c r="B37" s="5" t="n"/>
      <c r="C37" s="5" t="n"/>
      <c r="D37" s="5" t="n"/>
      <c r="E37" s="5" t="n"/>
      <c r="F37" s="5" t="n"/>
      <c r="G37" s="5" t="n"/>
      <c r="H37" s="5" t="n"/>
      <c r="I37" s="5" t="n"/>
      <c r="J37" s="5">
        <f>IF(COUNT(G37:I37)=0,"",IF(MAX(G37:I37)&gt;=5,"Critical",IF(MAX(G37:I37)=4,"High",IF(MAX(G37:I37)=3,"Medium","Low"))))</f>
        <v/>
      </c>
      <c r="K37" s="5" t="n"/>
      <c r="L37" s="5" t="n"/>
      <c r="M37" s="5" t="n"/>
      <c r="N37" s="5" t="n"/>
      <c r="O37" s="5">
        <f>IF(N37="","",IF(N37+365&lt;TODAY(),"Overdue","On track"))</f>
        <v/>
      </c>
    </row>
    <row r="38">
      <c r="A38" s="5" t="n"/>
      <c r="B38" s="5" t="n"/>
      <c r="C38" s="5" t="n"/>
      <c r="D38" s="5" t="n"/>
      <c r="E38" s="5" t="n"/>
      <c r="F38" s="5" t="n"/>
      <c r="G38" s="5" t="n"/>
      <c r="H38" s="5" t="n"/>
      <c r="I38" s="5" t="n"/>
      <c r="J38" s="5">
        <f>IF(COUNT(G38:I38)=0,"",IF(MAX(G38:I38)&gt;=5,"Critical",IF(MAX(G38:I38)=4,"High",IF(MAX(G38:I38)=3,"Medium","Low"))))</f>
        <v/>
      </c>
      <c r="K38" s="5" t="n"/>
      <c r="L38" s="5" t="n"/>
      <c r="M38" s="5" t="n"/>
      <c r="N38" s="5" t="n"/>
      <c r="O38" s="5">
        <f>IF(N38="","",IF(N38+365&lt;TODAY(),"Overdue","On track"))</f>
        <v/>
      </c>
    </row>
    <row r="39">
      <c r="A39" s="5" t="n"/>
      <c r="B39" s="5" t="n"/>
      <c r="C39" s="5" t="n"/>
      <c r="D39" s="5" t="n"/>
      <c r="E39" s="5" t="n"/>
      <c r="F39" s="5" t="n"/>
      <c r="G39" s="5" t="n"/>
      <c r="H39" s="5" t="n"/>
      <c r="I39" s="5" t="n"/>
      <c r="J39" s="5">
        <f>IF(COUNT(G39:I39)=0,"",IF(MAX(G39:I39)&gt;=5,"Critical",IF(MAX(G39:I39)=4,"High",IF(MAX(G39:I39)=3,"Medium","Low"))))</f>
        <v/>
      </c>
      <c r="K39" s="5" t="n"/>
      <c r="L39" s="5" t="n"/>
      <c r="M39" s="5" t="n"/>
      <c r="N39" s="5" t="n"/>
      <c r="O39" s="5">
        <f>IF(N39="","",IF(N39+365&lt;TODAY(),"Overdue","On track"))</f>
        <v/>
      </c>
    </row>
    <row r="40">
      <c r="A40" s="5" t="n"/>
      <c r="B40" s="5" t="n"/>
      <c r="C40" s="5" t="n"/>
      <c r="D40" s="5" t="n"/>
      <c r="E40" s="5" t="n"/>
      <c r="F40" s="5" t="n"/>
      <c r="G40" s="5" t="n"/>
      <c r="H40" s="5" t="n"/>
      <c r="I40" s="5" t="n"/>
      <c r="J40" s="5">
        <f>IF(COUNT(G40:I40)=0,"",IF(MAX(G40:I40)&gt;=5,"Critical",IF(MAX(G40:I40)=4,"High",IF(MAX(G40:I40)=3,"Medium","Low"))))</f>
        <v/>
      </c>
      <c r="K40" s="5" t="n"/>
      <c r="L40" s="5" t="n"/>
      <c r="M40" s="5" t="n"/>
      <c r="N40" s="5" t="n"/>
      <c r="O40" s="5">
        <f>IF(N40="","",IF(N40+365&lt;TODAY(),"Overdue","On track"))</f>
        <v/>
      </c>
    </row>
    <row r="41">
      <c r="A41" s="5" t="n"/>
      <c r="B41" s="5" t="n"/>
      <c r="C41" s="5" t="n"/>
      <c r="D41" s="5" t="n"/>
      <c r="E41" s="5" t="n"/>
      <c r="F41" s="5" t="n"/>
      <c r="G41" s="5" t="n"/>
      <c r="H41" s="5" t="n"/>
      <c r="I41" s="5" t="n"/>
      <c r="J41" s="5">
        <f>IF(COUNT(G41:I41)=0,"",IF(MAX(G41:I41)&gt;=5,"Critical",IF(MAX(G41:I41)=4,"High",IF(MAX(G41:I41)=3,"Medium","Low"))))</f>
        <v/>
      </c>
      <c r="K41" s="5" t="n"/>
      <c r="L41" s="5" t="n"/>
      <c r="M41" s="5" t="n"/>
      <c r="N41" s="5" t="n"/>
      <c r="O41" s="5">
        <f>IF(N41="","",IF(N41+365&lt;TODAY(),"Overdue","On track"))</f>
        <v/>
      </c>
    </row>
    <row r="42">
      <c r="A42" s="5" t="n"/>
      <c r="B42" s="5" t="n"/>
      <c r="C42" s="5" t="n"/>
      <c r="D42" s="5" t="n"/>
      <c r="E42" s="5" t="n"/>
      <c r="F42" s="5" t="n"/>
      <c r="G42" s="5" t="n"/>
      <c r="H42" s="5" t="n"/>
      <c r="I42" s="5" t="n"/>
      <c r="J42" s="5">
        <f>IF(COUNT(G42:I42)=0,"",IF(MAX(G42:I42)&gt;=5,"Critical",IF(MAX(G42:I42)=4,"High",IF(MAX(G42:I42)=3,"Medium","Low"))))</f>
        <v/>
      </c>
      <c r="K42" s="5" t="n"/>
      <c r="L42" s="5" t="n"/>
      <c r="M42" s="5" t="n"/>
      <c r="N42" s="5" t="n"/>
      <c r="O42" s="5">
        <f>IF(N42="","",IF(N42+365&lt;TODAY(),"Overdue","On track"))</f>
        <v/>
      </c>
    </row>
    <row r="43">
      <c r="A43" s="5" t="n"/>
      <c r="B43" s="5" t="n"/>
      <c r="C43" s="5" t="n"/>
      <c r="D43" s="5" t="n"/>
      <c r="E43" s="5" t="n"/>
      <c r="F43" s="5" t="n"/>
      <c r="G43" s="5" t="n"/>
      <c r="H43" s="5" t="n"/>
      <c r="I43" s="5" t="n"/>
      <c r="J43" s="5">
        <f>IF(COUNT(G43:I43)=0,"",IF(MAX(G43:I43)&gt;=5,"Critical",IF(MAX(G43:I43)=4,"High",IF(MAX(G43:I43)=3,"Medium","Low"))))</f>
        <v/>
      </c>
      <c r="K43" s="5" t="n"/>
      <c r="L43" s="5" t="n"/>
      <c r="M43" s="5" t="n"/>
      <c r="N43" s="5" t="n"/>
      <c r="O43" s="5">
        <f>IF(N43="","",IF(N43+365&lt;TODAY(),"Overdue","On track"))</f>
        <v/>
      </c>
    </row>
    <row r="44">
      <c r="A44" s="5" t="n"/>
      <c r="B44" s="5" t="n"/>
      <c r="C44" s="5" t="n"/>
      <c r="D44" s="5" t="n"/>
      <c r="E44" s="5" t="n"/>
      <c r="F44" s="5" t="n"/>
      <c r="G44" s="5" t="n"/>
      <c r="H44" s="5" t="n"/>
      <c r="I44" s="5" t="n"/>
      <c r="J44" s="5">
        <f>IF(COUNT(G44:I44)=0,"",IF(MAX(G44:I44)&gt;=5,"Critical",IF(MAX(G44:I44)=4,"High",IF(MAX(G44:I44)=3,"Medium","Low"))))</f>
        <v/>
      </c>
      <c r="K44" s="5" t="n"/>
      <c r="L44" s="5" t="n"/>
      <c r="M44" s="5" t="n"/>
      <c r="N44" s="5" t="n"/>
      <c r="O44" s="5">
        <f>IF(N44="","",IF(N44+365&lt;TODAY(),"Overdue","On track"))</f>
        <v/>
      </c>
    </row>
    <row r="45">
      <c r="A45" s="5" t="n"/>
      <c r="B45" s="5" t="n"/>
      <c r="C45" s="5" t="n"/>
      <c r="D45" s="5" t="n"/>
      <c r="E45" s="5" t="n"/>
      <c r="F45" s="5" t="n"/>
      <c r="G45" s="5" t="n"/>
      <c r="H45" s="5" t="n"/>
      <c r="I45" s="5" t="n"/>
      <c r="J45" s="5">
        <f>IF(COUNT(G45:I45)=0,"",IF(MAX(G45:I45)&gt;=5,"Critical",IF(MAX(G45:I45)=4,"High",IF(MAX(G45:I45)=3,"Medium","Low"))))</f>
        <v/>
      </c>
      <c r="K45" s="5" t="n"/>
      <c r="L45" s="5" t="n"/>
      <c r="M45" s="5" t="n"/>
      <c r="N45" s="5" t="n"/>
      <c r="O45" s="5">
        <f>IF(N45="","",IF(N45+365&lt;TODAY(),"Overdue","On track"))</f>
        <v/>
      </c>
    </row>
    <row r="46">
      <c r="A46" s="5" t="n"/>
      <c r="B46" s="5" t="n"/>
      <c r="C46" s="5" t="n"/>
      <c r="D46" s="5" t="n"/>
      <c r="E46" s="5" t="n"/>
      <c r="F46" s="5" t="n"/>
      <c r="G46" s="5" t="n"/>
      <c r="H46" s="5" t="n"/>
      <c r="I46" s="5" t="n"/>
      <c r="J46" s="5">
        <f>IF(COUNT(G46:I46)=0,"",IF(MAX(G46:I46)&gt;=5,"Critical",IF(MAX(G46:I46)=4,"High",IF(MAX(G46:I46)=3,"Medium","Low"))))</f>
        <v/>
      </c>
      <c r="K46" s="5" t="n"/>
      <c r="L46" s="5" t="n"/>
      <c r="M46" s="5" t="n"/>
      <c r="N46" s="5" t="n"/>
      <c r="O46" s="5">
        <f>IF(N46="","",IF(N46+365&lt;TODAY(),"Overdue","On track"))</f>
        <v/>
      </c>
    </row>
    <row r="47">
      <c r="A47" s="5" t="n"/>
      <c r="B47" s="5" t="n"/>
      <c r="C47" s="5" t="n"/>
      <c r="D47" s="5" t="n"/>
      <c r="E47" s="5" t="n"/>
      <c r="F47" s="5" t="n"/>
      <c r="G47" s="5" t="n"/>
      <c r="H47" s="5" t="n"/>
      <c r="I47" s="5" t="n"/>
      <c r="J47" s="5">
        <f>IF(COUNT(G47:I47)=0,"",IF(MAX(G47:I47)&gt;=5,"Critical",IF(MAX(G47:I47)=4,"High",IF(MAX(G47:I47)=3,"Medium","Low"))))</f>
        <v/>
      </c>
      <c r="K47" s="5" t="n"/>
      <c r="L47" s="5" t="n"/>
      <c r="M47" s="5" t="n"/>
      <c r="N47" s="5" t="n"/>
      <c r="O47" s="5">
        <f>IF(N47="","",IF(N47+365&lt;TODAY(),"Overdue","On track"))</f>
        <v/>
      </c>
    </row>
    <row r="48">
      <c r="A48" s="5" t="n"/>
      <c r="B48" s="5" t="n"/>
      <c r="C48" s="5" t="n"/>
      <c r="D48" s="5" t="n"/>
      <c r="E48" s="5" t="n"/>
      <c r="F48" s="5" t="n"/>
      <c r="G48" s="5" t="n"/>
      <c r="H48" s="5" t="n"/>
      <c r="I48" s="5" t="n"/>
      <c r="J48" s="5">
        <f>IF(COUNT(G48:I48)=0,"",IF(MAX(G48:I48)&gt;=5,"Critical",IF(MAX(G48:I48)=4,"High",IF(MAX(G48:I48)=3,"Medium","Low"))))</f>
        <v/>
      </c>
      <c r="K48" s="5" t="n"/>
      <c r="L48" s="5" t="n"/>
      <c r="M48" s="5" t="n"/>
      <c r="N48" s="5" t="n"/>
      <c r="O48" s="5">
        <f>IF(N48="","",IF(N48+365&lt;TODAY(),"Overdue","On track"))</f>
        <v/>
      </c>
    </row>
    <row r="49">
      <c r="A49" s="5" t="n"/>
      <c r="B49" s="5" t="n"/>
      <c r="C49" s="5" t="n"/>
      <c r="D49" s="5" t="n"/>
      <c r="E49" s="5" t="n"/>
      <c r="F49" s="5" t="n"/>
      <c r="G49" s="5" t="n"/>
      <c r="H49" s="5" t="n"/>
      <c r="I49" s="5" t="n"/>
      <c r="J49" s="5">
        <f>IF(COUNT(G49:I49)=0,"",IF(MAX(G49:I49)&gt;=5,"Critical",IF(MAX(G49:I49)=4,"High",IF(MAX(G49:I49)=3,"Medium","Low"))))</f>
        <v/>
      </c>
      <c r="K49" s="5" t="n"/>
      <c r="L49" s="5" t="n"/>
      <c r="M49" s="5" t="n"/>
      <c r="N49" s="5" t="n"/>
      <c r="O49" s="5">
        <f>IF(N49="","",IF(N49+365&lt;TODAY(),"Overdue","On track"))</f>
        <v/>
      </c>
    </row>
    <row r="50">
      <c r="A50" s="5" t="n"/>
      <c r="B50" s="5" t="n"/>
      <c r="C50" s="5" t="n"/>
      <c r="D50" s="5" t="n"/>
      <c r="E50" s="5" t="n"/>
      <c r="F50" s="5" t="n"/>
      <c r="G50" s="5" t="n"/>
      <c r="H50" s="5" t="n"/>
      <c r="I50" s="5" t="n"/>
      <c r="J50" s="5">
        <f>IF(COUNT(G50:I50)=0,"",IF(MAX(G50:I50)&gt;=5,"Critical",IF(MAX(G50:I50)=4,"High",IF(MAX(G50:I50)=3,"Medium","Low"))))</f>
        <v/>
      </c>
      <c r="K50" s="5" t="n"/>
      <c r="L50" s="5" t="n"/>
      <c r="M50" s="5" t="n"/>
      <c r="N50" s="5" t="n"/>
      <c r="O50" s="5">
        <f>IF(N50="","",IF(N50+365&lt;TODAY(),"Overdue","On track"))</f>
        <v/>
      </c>
    </row>
    <row r="51">
      <c r="A51" s="5" t="n"/>
      <c r="B51" s="5" t="n"/>
      <c r="C51" s="5" t="n"/>
      <c r="D51" s="5" t="n"/>
      <c r="E51" s="5" t="n"/>
      <c r="F51" s="5" t="n"/>
      <c r="G51" s="5" t="n"/>
      <c r="H51" s="5" t="n"/>
      <c r="I51" s="5" t="n"/>
      <c r="J51" s="5">
        <f>IF(COUNT(G51:I51)=0,"",IF(MAX(G51:I51)&gt;=5,"Critical",IF(MAX(G51:I51)=4,"High",IF(MAX(G51:I51)=3,"Medium","Low"))))</f>
        <v/>
      </c>
      <c r="K51" s="5" t="n"/>
      <c r="L51" s="5" t="n"/>
      <c r="M51" s="5" t="n"/>
      <c r="N51" s="5" t="n"/>
      <c r="O51" s="5">
        <f>IF(N51="","",IF(N51+365&lt;TODAY(),"Overdue","On track"))</f>
        <v/>
      </c>
    </row>
    <row r="52">
      <c r="A52" s="5" t="n"/>
      <c r="B52" s="5" t="n"/>
      <c r="C52" s="5" t="n"/>
      <c r="D52" s="5" t="n"/>
      <c r="E52" s="5" t="n"/>
      <c r="F52" s="5" t="n"/>
      <c r="G52" s="5" t="n"/>
      <c r="H52" s="5" t="n"/>
      <c r="I52" s="5" t="n"/>
      <c r="J52" s="5">
        <f>IF(COUNT(G52:I52)=0,"",IF(MAX(G52:I52)&gt;=5,"Critical",IF(MAX(G52:I52)=4,"High",IF(MAX(G52:I52)=3,"Medium","Low"))))</f>
        <v/>
      </c>
      <c r="K52" s="5" t="n"/>
      <c r="L52" s="5" t="n"/>
      <c r="M52" s="5" t="n"/>
      <c r="N52" s="5" t="n"/>
      <c r="O52" s="5">
        <f>IF(N52="","",IF(N52+365&lt;TODAY(),"Overdue","On track"))</f>
        <v/>
      </c>
    </row>
    <row r="53">
      <c r="A53" s="5" t="n"/>
      <c r="B53" s="5" t="n"/>
      <c r="C53" s="5" t="n"/>
      <c r="D53" s="5" t="n"/>
      <c r="E53" s="5" t="n"/>
      <c r="F53" s="5" t="n"/>
      <c r="G53" s="5" t="n"/>
      <c r="H53" s="5" t="n"/>
      <c r="I53" s="5" t="n"/>
      <c r="J53" s="5">
        <f>IF(COUNT(G53:I53)=0,"",IF(MAX(G53:I53)&gt;=5,"Critical",IF(MAX(G53:I53)=4,"High",IF(MAX(G53:I53)=3,"Medium","Low"))))</f>
        <v/>
      </c>
      <c r="K53" s="5" t="n"/>
      <c r="L53" s="5" t="n"/>
      <c r="M53" s="5" t="n"/>
      <c r="N53" s="5" t="n"/>
      <c r="O53" s="5">
        <f>IF(N53="","",IF(N53+365&lt;TODAY(),"Overdue","On track"))</f>
        <v/>
      </c>
    </row>
    <row r="54">
      <c r="A54" s="5" t="n"/>
      <c r="B54" s="5" t="n"/>
      <c r="C54" s="5" t="n"/>
      <c r="D54" s="5" t="n"/>
      <c r="E54" s="5" t="n"/>
      <c r="F54" s="5" t="n"/>
      <c r="G54" s="5" t="n"/>
      <c r="H54" s="5" t="n"/>
      <c r="I54" s="5" t="n"/>
      <c r="J54" s="5">
        <f>IF(COUNT(G54:I54)=0,"",IF(MAX(G54:I54)&gt;=5,"Critical",IF(MAX(G54:I54)=4,"High",IF(MAX(G54:I54)=3,"Medium","Low"))))</f>
        <v/>
      </c>
      <c r="K54" s="5" t="n"/>
      <c r="L54" s="5" t="n"/>
      <c r="M54" s="5" t="n"/>
      <c r="N54" s="5" t="n"/>
      <c r="O54" s="5">
        <f>IF(N54="","",IF(N54+365&lt;TODAY(),"Overdue","On track"))</f>
        <v/>
      </c>
    </row>
    <row r="55">
      <c r="A55" s="5" t="n"/>
      <c r="B55" s="5" t="n"/>
      <c r="C55" s="5" t="n"/>
      <c r="D55" s="5" t="n"/>
      <c r="E55" s="5" t="n"/>
      <c r="F55" s="5" t="n"/>
      <c r="G55" s="5" t="n"/>
      <c r="H55" s="5" t="n"/>
      <c r="I55" s="5" t="n"/>
      <c r="J55" s="5">
        <f>IF(COUNT(G55:I55)=0,"",IF(MAX(G55:I55)&gt;=5,"Critical",IF(MAX(G55:I55)=4,"High",IF(MAX(G55:I55)=3,"Medium","Low"))))</f>
        <v/>
      </c>
      <c r="K55" s="5" t="n"/>
      <c r="L55" s="5" t="n"/>
      <c r="M55" s="5" t="n"/>
      <c r="N55" s="5" t="n"/>
      <c r="O55" s="5">
        <f>IF(N55="","",IF(N55+365&lt;TODAY(),"Overdue","On track"))</f>
        <v/>
      </c>
    </row>
    <row r="56">
      <c r="A56" s="5" t="n"/>
      <c r="B56" s="5" t="n"/>
      <c r="C56" s="5" t="n"/>
      <c r="D56" s="5" t="n"/>
      <c r="E56" s="5" t="n"/>
      <c r="F56" s="5" t="n"/>
      <c r="G56" s="5" t="n"/>
      <c r="H56" s="5" t="n"/>
      <c r="I56" s="5" t="n"/>
      <c r="J56" s="5">
        <f>IF(COUNT(G56:I56)=0,"",IF(MAX(G56:I56)&gt;=5,"Critical",IF(MAX(G56:I56)=4,"High",IF(MAX(G56:I56)=3,"Medium","Low"))))</f>
        <v/>
      </c>
      <c r="K56" s="5" t="n"/>
      <c r="L56" s="5" t="n"/>
      <c r="M56" s="5" t="n"/>
      <c r="N56" s="5" t="n"/>
      <c r="O56" s="5">
        <f>IF(N56="","",IF(N56+365&lt;TODAY(),"Overdue","On track"))</f>
        <v/>
      </c>
    </row>
    <row r="57">
      <c r="A57" s="5" t="n"/>
      <c r="B57" s="5" t="n"/>
      <c r="C57" s="5" t="n"/>
      <c r="D57" s="5" t="n"/>
      <c r="E57" s="5" t="n"/>
      <c r="F57" s="5" t="n"/>
      <c r="G57" s="5" t="n"/>
      <c r="H57" s="5" t="n"/>
      <c r="I57" s="5" t="n"/>
      <c r="J57" s="5">
        <f>IF(COUNT(G57:I57)=0,"",IF(MAX(G57:I57)&gt;=5,"Critical",IF(MAX(G57:I57)=4,"High",IF(MAX(G57:I57)=3,"Medium","Low"))))</f>
        <v/>
      </c>
      <c r="K57" s="5" t="n"/>
      <c r="L57" s="5" t="n"/>
      <c r="M57" s="5" t="n"/>
      <c r="N57" s="5" t="n"/>
      <c r="O57" s="5">
        <f>IF(N57="","",IF(N57+365&lt;TODAY(),"Overdue","On track"))</f>
        <v/>
      </c>
    </row>
  </sheetData>
  <autoFilter ref="A4:O57"/>
  <mergeCells count="1">
    <mergeCell ref="A2:O2"/>
  </mergeCells>
  <conditionalFormatting sqref="J5:J57">
    <cfRule type="cellIs" priority="1" operator="equal" dxfId="0">
      <formula>"Low"</formula>
    </cfRule>
    <cfRule type="cellIs" priority="2" operator="equal" dxfId="1">
      <formula>"Medium"</formula>
    </cfRule>
    <cfRule type="cellIs" priority="3" operator="equal" dxfId="2">
      <formula>"High"</formula>
    </cfRule>
    <cfRule type="cellIs" priority="4" operator="equal" dxfId="3">
      <formula>"Critical"</formula>
    </cfRule>
  </conditionalFormatting>
  <conditionalFormatting sqref="O5:O57">
    <cfRule type="cellIs" priority="5" operator="equal" dxfId="0">
      <formula>"Implemented"</formula>
    </cfRule>
    <cfRule type="cellIs" priority="6" operator="equal" dxfId="0">
      <formula>"Done"</formula>
    </cfRule>
    <cfRule type="cellIs" priority="7" operator="equal" dxfId="0">
      <formula>"Closed"</formula>
    </cfRule>
    <cfRule type="cellIs" priority="8" operator="equal" dxfId="0">
      <formula>"Yes"</formula>
    </cfRule>
    <cfRule type="cellIs" priority="9" operator="equal" dxfId="0">
      <formula>"Met"</formula>
    </cfRule>
    <cfRule type="cellIs" priority="10" operator="equal" dxfId="1">
      <formula>"Partially implemented"</formula>
    </cfRule>
    <cfRule type="cellIs" priority="11" operator="equal" dxfId="1">
      <formula>"Partial"</formula>
    </cfRule>
    <cfRule type="cellIs" priority="12" operator="equal" dxfId="1">
      <formula>"Done late"</formula>
    </cfRule>
    <cfRule type="cellIs" priority="13" operator="equal" dxfId="1">
      <formula>"In progress"</formula>
    </cfRule>
    <cfRule type="cellIs" priority="14" operator="equal" dxfId="1">
      <formula>"Open"</formula>
    </cfRule>
    <cfRule type="cellIs" priority="15" operator="equal" dxfId="1">
      <formula>"On track"</formula>
    </cfRule>
    <cfRule type="cellIs" priority="16" operator="equal" dxfId="4">
      <formula>"Planned"</formula>
    </cfRule>
    <cfRule type="cellIs" priority="17" operator="equal" dxfId="5">
      <formula>"Not started"</formula>
    </cfRule>
    <cfRule type="cellIs" priority="18" operator="equal" dxfId="2">
      <formula>"Not implemented"</formula>
    </cfRule>
    <cfRule type="cellIs" priority="19" operator="equal" dxfId="2">
      <formula>"No"</formula>
    </cfRule>
    <cfRule type="cellIs" priority="20" operator="equal" dxfId="2">
      <formula>"Overdue"</formula>
    </cfRule>
    <cfRule type="cellIs" priority="21" operator="equal" dxfId="2">
      <formula>"Not met"</formula>
    </cfRule>
    <cfRule type="cellIs" priority="22" operator="equal" dxfId="6">
      <formula>"Excluded"</formula>
    </cfRule>
  </conditionalFormatting>
  <dataValidations count="4">
    <dataValidation sqref="E5:E57" showDropDown="0" showInputMessage="0" showErrorMessage="0" allowBlank="1" errorTitle="Invalid value" error="Pick a value from the list." type="list">
      <formula1>"Public,Internal,Confidential,Restricted"</formula1>
    </dataValidation>
    <dataValidation sqref="G5:G57" showDropDown="0" showInputMessage="0" showErrorMessage="0" allowBlank="1" errorTitle="Invalid value" error="Pick a value from the list." type="list">
      <formula1>"1,2,3,4,5"</formula1>
    </dataValidation>
    <dataValidation sqref="H5:H57" showDropDown="0" showInputMessage="0" showErrorMessage="0" allowBlank="1" errorTitle="Invalid value" error="Pick a value from the list." type="list">
      <formula1>"1,2,3,4,5"</formula1>
    </dataValidation>
    <dataValidation sqref="I5:I57" showDropDown="0" showInputMessage="0" showErrorMessage="0" allowBlank="1" errorTitle="Invalid value" error="Pick a value from the list." type="list">
      <formula1>"1,2,3,4,5"</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V25"/>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42" customWidth="1" min="3" max="3"/>
    <col width="26" customWidth="1" min="4" max="4"/>
    <col width="24" customWidth="1" min="5" max="5"/>
    <col width="26" customWidth="1" min="6" max="6"/>
    <col width="30" customWidth="1" min="7" max="7"/>
    <col width="18" customWidth="1" min="8" max="8"/>
    <col width="30" customWidth="1" min="9" max="9"/>
    <col width="11" customWidth="1" min="10" max="10"/>
    <col width="30" customWidth="1" min="11" max="11"/>
    <col width="26" customWidth="1" min="12" max="12"/>
    <col width="26" customWidth="1" min="13" max="13"/>
    <col width="14" customWidth="1" min="14" max="14"/>
    <col width="14" customWidth="1" min="15" max="15"/>
    <col width="18" customWidth="1" min="16" max="16"/>
    <col width="34" customWidth="1" min="17" max="17"/>
    <col width="36" customWidth="1" min="18" max="18"/>
    <col width="16" customWidth="1" min="19" max="19"/>
    <col width="26" customWidth="1" min="20" max="20"/>
    <col width="12" customWidth="1" min="21" max="21"/>
    <col width="12" customWidth="1" min="22" max="22"/>
  </cols>
  <sheetData>
    <row r="1">
      <c r="A1" s="8" t="inlineStr">
        <is>
          <t>AI system inventory (42001 4.1, A.4.2, A.6.2.7)</t>
        </is>
      </c>
    </row>
    <row r="2" ht="30" customHeight="1">
      <c r="A2" s="3" t="inlineStr">
        <is>
          <t>One row per AI system in scope, whatever our role (provider, producer, customer/user). Register a system at gate G0 of IMS-POL-002 and update it at every release. Release status and the AIIA reference are checked by the AI Release Review.</t>
        </is>
      </c>
    </row>
    <row r="4" ht="32" customHeight="1">
      <c r="A4" s="9" t="inlineStr">
        <is>
          <t>AI system ID</t>
        </is>
      </c>
      <c r="B4" s="9" t="inlineStr">
        <is>
          <t>Name</t>
        </is>
      </c>
      <c r="C4" s="9" t="inlineStr">
        <is>
          <t>Purpose</t>
        </is>
      </c>
      <c r="D4" s="9" t="inlineStr">
        <is>
          <t>Our role</t>
        </is>
      </c>
      <c r="E4" s="9" t="inlineStr">
        <is>
          <t>Model type</t>
        </is>
      </c>
      <c r="F4" s="9" t="inlineStr">
        <is>
          <t>Model source</t>
        </is>
      </c>
      <c r="G4" s="9" t="inlineStr">
        <is>
          <t>Data used</t>
        </is>
      </c>
      <c r="H4" s="9" t="inlineStr">
        <is>
          <t>Users</t>
        </is>
      </c>
      <c r="I4" s="9" t="inlineStr">
        <is>
          <t>Affected people</t>
        </is>
      </c>
      <c r="J4" s="9" t="inlineStr">
        <is>
          <t>Criticality</t>
        </is>
      </c>
      <c r="K4" s="9" t="inlineStr">
        <is>
          <t>Why</t>
        </is>
      </c>
      <c r="L4" s="9" t="inlineStr">
        <is>
          <t>System owner</t>
        </is>
      </c>
      <c r="M4" s="9" t="inlineStr">
        <is>
          <t>Technical lead</t>
        </is>
      </c>
      <c r="N4" s="9" t="inlineStr">
        <is>
          <t>AIIA ref</t>
        </is>
      </c>
      <c r="O4" s="9" t="inlineStr">
        <is>
          <t>Release status</t>
        </is>
      </c>
      <c r="P4" s="9" t="inlineStr">
        <is>
          <t>Current version</t>
        </is>
      </c>
      <c r="Q4" s="9" t="inlineStr">
        <is>
          <t>Monitoring</t>
        </is>
      </c>
      <c r="R4" s="9" t="inlineStr">
        <is>
          <t>Human oversight measure</t>
        </is>
      </c>
      <c r="S4" s="9" t="inlineStr">
        <is>
          <t>Linked risks</t>
        </is>
      </c>
      <c r="T4" s="9" t="inlineStr">
        <is>
          <t>Documentation</t>
        </is>
      </c>
      <c r="U4" s="9" t="inlineStr">
        <is>
          <t>Last review</t>
        </is>
      </c>
      <c r="V4" s="9" t="inlineStr">
        <is>
          <t>Review status</t>
        </is>
      </c>
    </row>
    <row r="5">
      <c r="A5" s="5" t="inlineStr">
        <is>
          <t>AI-SYS-001</t>
        </is>
      </c>
      <c r="B5" s="5" t="inlineStr">
        <is>
          <t>StoryFrame</t>
        </is>
      </c>
      <c r="C5" s="5" t="inlineStr">
        <is>
          <t>Generates storyboard panels and concept art from a script or prompt. Uses a licensed third-party image model, fine-tuned by us only on licensed and commissioned artwork with artist consent. Outputs carry content credentials (C2PA) and a visible 'AI-assisted' label.</t>
        </is>
      </c>
      <c r="D5" s="5" t="inlineStr">
        <is>
          <t>AI provider and AI producer (we fine-tune, integrate and operate it)</t>
        </is>
      </c>
      <c r="E5" s="5" t="inlineStr">
        <is>
          <t>Diffusion image model, fine-tuned (LoRA adapters)</t>
        </is>
      </c>
      <c r="F5" s="5" t="inlineStr">
        <is>
          <t>Licensed base model from SUP-02; fine-tuned in-house</t>
        </is>
      </c>
      <c r="G5" s="5" t="inlineStr">
        <is>
          <t>Licensed and consented artwork (AST-006); customer prompts at run time (not stored for training)</t>
        </is>
      </c>
      <c r="H5" s="5" t="inlineStr">
        <is>
          <t>Canvas and API customers</t>
        </is>
      </c>
      <c r="I5" s="5" t="inlineStr">
        <is>
          <t>Customers; artists whose styles are used; people who could be depicted; audiences of published storyboards</t>
        </is>
      </c>
      <c r="J5" s="5" t="inlineStr">
        <is>
          <t>High</t>
        </is>
      </c>
      <c r="K5" s="5" t="inlineStr">
        <is>
          <t>copyright and consent, harmful or deceptive imagery, likeness of real people</t>
        </is>
      </c>
      <c r="L5" s="5" t="inlineStr">
        <is>
          <t>[Head of AI]</t>
        </is>
      </c>
      <c r="M5" s="5" t="inlineStr">
        <is>
          <t>[Data and ML Lead]</t>
        </is>
      </c>
      <c r="N5" s="5" t="inlineStr">
        <is>
          <t>AIIA-2026-01</t>
        </is>
      </c>
      <c r="O5" s="5" t="inlineStr">
        <is>
          <t>Live</t>
        </is>
      </c>
      <c r="P5" s="5" t="inlineStr">
        <is>
          <t>v2.4 (2026-09-24)</t>
        </is>
      </c>
      <c r="Q5" s="5" t="inlineStr">
        <is>
          <t>Daily content-safety canary; monthly quality and drift review; C2PA label sampling</t>
        </is>
      </c>
      <c r="R5" s="5" t="inlineStr">
        <is>
          <t>Users edit or reject every panel; likeness check blocks real-person outputs; kill-switch per feature flag</t>
        </is>
      </c>
      <c r="S5" s="5" t="inlineStr">
        <is>
          <t>RSK-AI-001, RSK-AI-002</t>
        </is>
      </c>
      <c r="T5" s="5" t="inlineStr">
        <is>
          <t>Model card + design notes: registry/storyframe</t>
        </is>
      </c>
      <c r="U5" s="10" t="n">
        <v>46287</v>
      </c>
      <c r="V5" s="5">
        <f>IF(U5="","",IF(U5+365&lt;TODAY(),"Overdue","On track"))</f>
        <v/>
      </c>
    </row>
    <row r="6">
      <c r="A6" s="5" t="inlineStr">
        <is>
          <t>AI-SYS-002</t>
        </is>
      </c>
      <c r="B6" s="5" t="inlineStr">
        <is>
          <t>ScriptMate</t>
        </is>
      </c>
      <c r="C6" s="5" t="inlineStr">
        <is>
          <t>Writing assistant that breaks scripts into scenes and shot lists. Calls a third-party foundation-model API with zero data retention; customer scripts are never used for training.</t>
        </is>
      </c>
      <c r="D6" s="5" t="inlineStr">
        <is>
          <t>AI provider (we integrate and offer it); the model itself is a supplier's</t>
        </is>
      </c>
      <c r="E6" s="5" t="inlineStr">
        <is>
          <t>Large language model via API (no fine-tuning)</t>
        </is>
      </c>
      <c r="F6" s="5" t="inlineStr">
        <is>
          <t>SUP-01 foundation-model provider, pinned dated version</t>
        </is>
      </c>
      <c r="G6" s="5" t="inlineStr">
        <is>
          <t>Customer scripts at run time, zero retention</t>
        </is>
      </c>
      <c r="H6" s="5" t="inlineStr">
        <is>
          <t>Canvas customers</t>
        </is>
      </c>
      <c r="I6" s="5" t="inlineStr">
        <is>
          <t>Customers and their unreleased scripts; writers named in scripts</t>
        </is>
      </c>
      <c r="J6" s="5" t="inlineStr">
        <is>
          <t>Medium</t>
        </is>
      </c>
      <c r="K6" s="5" t="inlineStr">
        <is>
          <t>confidentiality of unreleased scripts, hallucinated content</t>
        </is>
      </c>
      <c r="L6" s="5" t="inlineStr">
        <is>
          <t>[Head of AI]</t>
        </is>
      </c>
      <c r="M6" s="5" t="inlineStr">
        <is>
          <t>[CTO]</t>
        </is>
      </c>
      <c r="N6" s="5" t="inlineStr">
        <is>
          <t>AIIA-2026-03</t>
        </is>
      </c>
      <c r="O6" s="5" t="inlineStr">
        <is>
          <t>Live</t>
        </is>
      </c>
      <c r="P6" s="5" t="inlineStr">
        <is>
          <t>Prompt template v1.7 / model pinned 2026-05</t>
        </is>
      </c>
      <c r="Q6" s="5" t="inlineStr">
        <is>
          <t>Weekly hallucination spot-check (50 scripts); cross-tenant leakage probes monthly</t>
        </is>
      </c>
      <c r="R6" s="5" t="inlineStr">
        <is>
          <t>Suggestions only; user accepts or edits every scene; 'report a problem' button</t>
        </is>
      </c>
      <c r="S6" s="5" t="inlineStr">
        <is>
          <t>RSK-AI-004</t>
        </is>
      </c>
      <c r="T6" s="5" t="inlineStr">
        <is>
          <t>Model card + design notes: registry/scriptmate</t>
        </is>
      </c>
      <c r="U6" s="10" t="n">
        <v>46217</v>
      </c>
      <c r="V6" s="5">
        <f>IF(U6="","",IF(U6+365&lt;TODAY(),"Overdue","On track"))</f>
        <v/>
      </c>
    </row>
    <row r="7">
      <c r="A7" s="5" t="inlineStr">
        <is>
          <t>AI-SYS-003</t>
        </is>
      </c>
      <c r="B7" s="5" t="inlineStr">
        <is>
          <t>ArtistMatch</t>
        </is>
      </c>
      <c r="C7" s="5" t="inlineStr">
        <is>
          <t>In-house ranking model that recommends marketplace artists for a commission based on portfolio style, availability and ratings.</t>
        </is>
      </c>
      <c r="D7" s="5" t="inlineStr">
        <is>
          <t>AI provider and AI producer</t>
        </is>
      </c>
      <c r="E7" s="5" t="inlineStr">
        <is>
          <t>Gradient-boosted ranking model</t>
        </is>
      </c>
      <c r="F7" s="5" t="inlineStr">
        <is>
          <t>In-house</t>
        </is>
      </c>
      <c r="G7" s="5" t="inlineStr">
        <is>
          <t>Artist portfolios, availability, ratings (AST-005, AST-007)</t>
        </is>
      </c>
      <c r="H7" s="5" t="inlineStr">
        <is>
          <t>Customers commissioning artists; affects artists' income</t>
        </is>
      </c>
      <c r="I7" s="5" t="inlineStr">
        <is>
          <t>Artists (visibility and income); customers choosing artists</t>
        </is>
      </c>
      <c r="J7" s="5" t="inlineStr">
        <is>
          <t>High</t>
        </is>
      </c>
      <c r="K7" s="5" t="inlineStr">
        <is>
          <t>fairness to artists (visibility and earnings), transparency of ranking</t>
        </is>
      </c>
      <c r="L7" s="5" t="inlineStr">
        <is>
          <t>[Head of AI]</t>
        </is>
      </c>
      <c r="M7" s="5" t="inlineStr">
        <is>
          <t>[Data and ML Lead]</t>
        </is>
      </c>
      <c r="N7" s="5" t="inlineStr">
        <is>
          <t>AIIA-2026-02</t>
        </is>
      </c>
      <c r="O7" s="5" t="inlineStr">
        <is>
          <t>Live</t>
        </is>
      </c>
      <c r="P7" s="5" t="inlineStr">
        <is>
          <t>v1.3 (2026-06-30)</t>
        </is>
      </c>
      <c r="Q7" s="5" t="inlineStr">
        <is>
          <t>Weekly exposure-ratio metric (OBJ-06); monthly fairness review</t>
        </is>
      </c>
      <c r="R7" s="5" t="inlineStr">
        <is>
          <t>Customers see 'why this artist'; artists can appeal ranking; manual boost for new artists</t>
        </is>
      </c>
      <c r="S7" s="5" t="inlineStr">
        <is>
          <t>RSK-AI-003</t>
        </is>
      </c>
      <c r="T7" s="5" t="inlineStr">
        <is>
          <t>Model card + design notes: registry/artistmatch</t>
        </is>
      </c>
      <c r="U7" s="10" t="n">
        <v>46264</v>
      </c>
      <c r="V7" s="5">
        <f>IF(U7="","",IF(U7+365&lt;TODAY(),"Overdue","On track"))</f>
        <v/>
      </c>
    </row>
    <row r="8">
      <c r="A8" s="5" t="inlineStr">
        <is>
          <t>AI-SYS-004</t>
        </is>
      </c>
      <c r="B8" s="5" t="inlineStr">
        <is>
          <t>SafeFrame</t>
        </is>
      </c>
      <c r="C8" s="5" t="inlineStr">
        <is>
          <t>Vendor content-moderation service that screens prompts and generated images for prohibited content (sexual content involving minors, extremist symbols, real-person deepfakes).</t>
        </is>
      </c>
      <c r="D8" s="5" t="inlineStr">
        <is>
          <t>AI customer / user (we buy it and rely on it as a control)</t>
        </is>
      </c>
      <c r="E8" s="5" t="inlineStr">
        <is>
          <t>Vendor classification models (image + text)</t>
        </is>
      </c>
      <c r="F8" s="5" t="inlineStr">
        <is>
          <t>SUP-03 vendor, version pinned since INC-2026-007</t>
        </is>
      </c>
      <c r="G8" s="5" t="inlineStr">
        <is>
          <t>Prompts and generated images in transit</t>
        </is>
      </c>
      <c r="H8" s="5" t="inlineStr">
        <is>
          <t>Runs automatically on all StoryFrame traffic</t>
        </is>
      </c>
      <c r="I8" s="5" t="inlineStr">
        <is>
          <t>Anyone who could be harmed by prohibited or deceptive content; customers</t>
        </is>
      </c>
      <c r="J8" s="5" t="inlineStr">
        <is>
          <t>High</t>
        </is>
      </c>
      <c r="K8" s="5" t="inlineStr">
        <is>
          <t>a failure lets harmful content through</t>
        </is>
      </c>
      <c r="L8" s="5" t="inlineStr">
        <is>
          <t>[Creative Director]</t>
        </is>
      </c>
      <c r="M8" s="5" t="inlineStr">
        <is>
          <t>[Platform Engineer]</t>
        </is>
      </c>
      <c r="N8" s="5" t="inlineStr">
        <is>
          <t>AIIA-2026-04</t>
        </is>
      </c>
      <c r="O8" s="5" t="inlineStr">
        <is>
          <t>Live</t>
        </is>
      </c>
      <c r="P8" s="5" t="inlineStr">
        <is>
          <t>Vendor model pinned 2026-08-17</t>
        </is>
      </c>
      <c r="Q8" s="5" t="inlineStr">
        <is>
          <t>Daily canary set (daily for 30 days after INC-2026-007, then weekly); vendor detection-rate report</t>
        </is>
      </c>
      <c r="R8" s="5" t="inlineStr">
        <is>
          <t>Blocked items reviewed by Trust &amp; Safety; our own likeness check as second layer</t>
        </is>
      </c>
      <c r="S8" s="5" t="inlineStr">
        <is>
          <t>RSK-AI-005</t>
        </is>
      </c>
      <c r="T8" s="5" t="inlineStr">
        <is>
          <t>Model card + design notes: registry/safeframe</t>
        </is>
      </c>
      <c r="U8" s="10" t="n">
        <v>46283</v>
      </c>
      <c r="V8" s="5">
        <f>IF(U8="","",IF(U8+365&lt;TODAY(),"Overdue","On track"))</f>
        <v/>
      </c>
    </row>
    <row r="9">
      <c r="A9" s="5" t="inlineStr">
        <is>
          <t>AI-SYS-005</t>
        </is>
      </c>
      <c r="B9" s="5" t="inlineStr">
        <is>
          <t>CodeAssist</t>
        </is>
      </c>
      <c r="C9" s="5" t="inlineStr">
        <is>
          <t>Approved AI coding assistant used by engineers in the IDE, business plan with no training on our code.</t>
        </is>
      </c>
      <c r="D9" s="5" t="inlineStr">
        <is>
          <t>AI customer / user</t>
        </is>
      </c>
      <c r="E9" s="5" t="inlineStr">
        <is>
          <t>Code-generation LLM (vendor service)</t>
        </is>
      </c>
      <c r="F9" s="5" t="inlineStr">
        <is>
          <t>SUP-07, business plan</t>
        </is>
      </c>
      <c r="G9" s="5" t="inlineStr">
        <is>
          <t>Code context from the IDE (AST-009)</t>
        </is>
      </c>
      <c r="H9" s="5" t="inlineStr">
        <is>
          <t>Engineering staff</t>
        </is>
      </c>
      <c r="I9" s="5" t="inlineStr">
        <is>
          <t>Engineers; indirectly customers if insecure code ships</t>
        </is>
      </c>
      <c r="J9" s="5" t="inlineStr">
        <is>
          <t>Medium</t>
        </is>
      </c>
      <c r="K9" s="5" t="inlineStr">
        <is>
          <t>source code and secrets exposure, insecure suggestions</t>
        </is>
      </c>
      <c r="L9" s="5" t="inlineStr">
        <is>
          <t>[CTO]</t>
        </is>
      </c>
      <c r="M9" s="5" t="inlineStr">
        <is>
          <t>[Security Lead]</t>
        </is>
      </c>
      <c r="N9" s="5" t="inlineStr">
        <is>
          <t>Screening only (low impact)</t>
        </is>
      </c>
      <c r="O9" s="5" t="inlineStr">
        <is>
          <t>Live (internal tool)</t>
        </is>
      </c>
      <c r="P9" s="5" t="inlineStr">
        <is>
          <t>Vendor-managed</t>
        </is>
      </c>
      <c r="Q9" s="5" t="inlineStr">
        <is>
          <t>Admin settings checked yearly; SAST findings tagged by origin</t>
        </is>
      </c>
      <c r="R9" s="5" t="inlineStr">
        <is>
          <t>Every suggestion reviewed by a human; normal code review and CI apply</t>
        </is>
      </c>
      <c r="S9" s="5" t="inlineStr">
        <is>
          <t>—</t>
        </is>
      </c>
      <c r="T9" s="5" t="inlineStr">
        <is>
          <t>Model card + design notes: registry/codeassist</t>
        </is>
      </c>
      <c r="U9" s="10" t="n">
        <v>45931</v>
      </c>
      <c r="V9" s="5">
        <f>IF(U9="","",IF(U9+365&lt;TODAY(),"Overdue","On track"))</f>
        <v/>
      </c>
    </row>
    <row r="10">
      <c r="A10" s="11" t="inlineStr">
        <is>
          <t>[AI-SYS-0xx]</t>
        </is>
      </c>
      <c r="B10" s="11" t="inlineStr">
        <is>
          <t>[name]</t>
        </is>
      </c>
      <c r="C10" s="11" t="inlineStr">
        <is>
          <t>[purpose]</t>
        </is>
      </c>
      <c r="D10" s="11" t="inlineStr">
        <is>
          <t>[role]</t>
        </is>
      </c>
      <c r="E10" s="11" t="inlineStr">
        <is>
          <t>[model type]</t>
        </is>
      </c>
      <c r="F10" s="11" t="inlineStr">
        <is>
          <t>[source]</t>
        </is>
      </c>
      <c r="G10" s="11" t="inlineStr">
        <is>
          <t>[data]</t>
        </is>
      </c>
      <c r="H10" s="11" t="inlineStr">
        <is>
          <t>[users]</t>
        </is>
      </c>
      <c r="I10" s="11" t="inlineStr">
        <is>
          <t>[affected people]</t>
        </is>
      </c>
      <c r="J10" s="11" t="inlineStr">
        <is>
          <t>[level]</t>
        </is>
      </c>
      <c r="K10" s="11" t="inlineStr">
        <is>
          <t>[why]</t>
        </is>
      </c>
      <c r="L10" s="11" t="inlineStr">
        <is>
          <t>[owner]</t>
        </is>
      </c>
      <c r="M10" s="11" t="inlineStr">
        <is>
          <t>[technical lead]</t>
        </is>
      </c>
      <c r="N10" s="11" t="inlineStr">
        <is>
          <t>[AIIA ref]</t>
        </is>
      </c>
      <c r="O10" s="11" t="inlineStr">
        <is>
          <t>[status]</t>
        </is>
      </c>
      <c r="P10" s="11" t="inlineStr">
        <is>
          <t>[version]</t>
        </is>
      </c>
      <c r="Q10" s="11" t="inlineStr">
        <is>
          <t>[monitoring]</t>
        </is>
      </c>
      <c r="R10" s="11" t="inlineStr">
        <is>
          <t>[oversight]</t>
        </is>
      </c>
      <c r="S10" s="11" t="inlineStr">
        <is>
          <t>[risk IDs]</t>
        </is>
      </c>
      <c r="T10" s="11" t="inlineStr">
        <is>
          <t>[link]</t>
        </is>
      </c>
      <c r="U10" s="11" t="inlineStr">
        <is>
          <t>[date]</t>
        </is>
      </c>
      <c r="V10" s="5">
        <f>IF(U10="","",IF(U10+365&lt;TODAY(),"Overdue","On track"))</f>
        <v/>
      </c>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f>IF(U11="","",IF(U11+365&lt;TODAY(),"Overdue","On track"))</f>
        <v/>
      </c>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f>IF(U12="","",IF(U12+365&lt;TODAY(),"Overdue","On track"))</f>
        <v/>
      </c>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f>IF(U13="","",IF(U13+365&lt;TODAY(),"Overdue","On track"))</f>
        <v/>
      </c>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f>IF(U14="","",IF(U14+365&lt;TODAY(),"Overdue","On track"))</f>
        <v/>
      </c>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f>IF(U15="","",IF(U15+365&lt;TODAY(),"Overdue","On track"))</f>
        <v/>
      </c>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f>IF(U16="","",IF(U16+365&lt;TODAY(),"Overdue","On track"))</f>
        <v/>
      </c>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f>IF(U17="","",IF(U17+365&lt;TODAY(),"Overdue","On track"))</f>
        <v/>
      </c>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f>IF(U18="","",IF(U18+365&lt;TODAY(),"Overdue","On track"))</f>
        <v/>
      </c>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f>IF(U19="","",IF(U19+365&lt;TODAY(),"Overdue","On track"))</f>
        <v/>
      </c>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f>IF(U20="","",IF(U20+365&lt;TODAY(),"Overdue","On track"))</f>
        <v/>
      </c>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f>IF(U21="","",IF(U21+365&lt;TODAY(),"Overdue","On track"))</f>
        <v/>
      </c>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f>IF(U22="","",IF(U22+365&lt;TODAY(),"Overdue","On track"))</f>
        <v/>
      </c>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f>IF(U23="","",IF(U23+365&lt;TODAY(),"Overdue","On track"))</f>
        <v/>
      </c>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f>IF(U24="","",IF(U24+365&lt;TODAY(),"Overdue","On track"))</f>
        <v/>
      </c>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f>IF(U25="","",IF(U25+365&lt;TODAY(),"Overdue","On track"))</f>
        <v/>
      </c>
    </row>
  </sheetData>
  <autoFilter ref="A4:V25"/>
  <mergeCells count="1">
    <mergeCell ref="A2:V2"/>
  </mergeCells>
  <conditionalFormatting sqref="J5:J25">
    <cfRule type="cellIs" priority="1" operator="equal" dxfId="0">
      <formula>"Low"</formula>
    </cfRule>
    <cfRule type="cellIs" priority="2" operator="equal" dxfId="1">
      <formula>"Medium"</formula>
    </cfRule>
    <cfRule type="cellIs" priority="3" operator="equal" dxfId="2">
      <formula>"High"</formula>
    </cfRule>
    <cfRule type="cellIs" priority="4" operator="equal" dxfId="3">
      <formula>"Critical"</formula>
    </cfRule>
  </conditionalFormatting>
  <conditionalFormatting sqref="V5:V25">
    <cfRule type="cellIs" priority="5" operator="equal" dxfId="0">
      <formula>"Implemented"</formula>
    </cfRule>
    <cfRule type="cellIs" priority="6" operator="equal" dxfId="0">
      <formula>"Done"</formula>
    </cfRule>
    <cfRule type="cellIs" priority="7" operator="equal" dxfId="0">
      <formula>"Closed"</formula>
    </cfRule>
    <cfRule type="cellIs" priority="8" operator="equal" dxfId="0">
      <formula>"Yes"</formula>
    </cfRule>
    <cfRule type="cellIs" priority="9" operator="equal" dxfId="0">
      <formula>"Met"</formula>
    </cfRule>
    <cfRule type="cellIs" priority="10" operator="equal" dxfId="1">
      <formula>"Partially implemented"</formula>
    </cfRule>
    <cfRule type="cellIs" priority="11" operator="equal" dxfId="1">
      <formula>"Partial"</formula>
    </cfRule>
    <cfRule type="cellIs" priority="12" operator="equal" dxfId="1">
      <formula>"Done late"</formula>
    </cfRule>
    <cfRule type="cellIs" priority="13" operator="equal" dxfId="1">
      <formula>"In progress"</formula>
    </cfRule>
    <cfRule type="cellIs" priority="14" operator="equal" dxfId="1">
      <formula>"Open"</formula>
    </cfRule>
    <cfRule type="cellIs" priority="15" operator="equal" dxfId="1">
      <formula>"On track"</formula>
    </cfRule>
    <cfRule type="cellIs" priority="16" operator="equal" dxfId="4">
      <formula>"Planned"</formula>
    </cfRule>
    <cfRule type="cellIs" priority="17" operator="equal" dxfId="5">
      <formula>"Not started"</formula>
    </cfRule>
    <cfRule type="cellIs" priority="18" operator="equal" dxfId="2">
      <formula>"Not implemented"</formula>
    </cfRule>
    <cfRule type="cellIs" priority="19" operator="equal" dxfId="2">
      <formula>"No"</formula>
    </cfRule>
    <cfRule type="cellIs" priority="20" operator="equal" dxfId="2">
      <formula>"Overdue"</formula>
    </cfRule>
    <cfRule type="cellIs" priority="21" operator="equal" dxfId="2">
      <formula>"Not met"</formula>
    </cfRule>
    <cfRule type="cellIs" priority="22" operator="equal" dxfId="6">
      <formula>"Excluded"</formula>
    </cfRule>
  </conditionalFormatting>
  <dataValidations count="2">
    <dataValidation sqref="J5:J25" showDropDown="0" showInputMessage="0" showErrorMessage="0" allowBlank="1" errorTitle="Invalid value" error="Pick a value from the list." type="list">
      <formula1>"Low,Medium,High,Critical"</formula1>
    </dataValidation>
    <dataValidation sqref="O5:O25" showDropDown="0" showInputMessage="0" showErrorMessage="0" allowBlank="1" errorTitle="Invalid value" error="Pick a value from the list." type="list">
      <formula1>"Idea,In development,Pilot,Live,Live (internal tool),Suspended,Retired"</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4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8" customWidth="1" min="3" max="3"/>
    <col width="48" customWidth="1" min="4" max="4"/>
    <col width="22" customWidth="1" min="5" max="5"/>
    <col width="18" customWidth="1" min="6" max="6"/>
    <col width="30" customWidth="1" min="7" max="7"/>
    <col width="44" customWidth="1" min="8" max="8"/>
    <col width="10" customWidth="1" min="9" max="9"/>
  </cols>
  <sheetData>
    <row r="1">
      <c r="A1" s="8" t="inlineStr">
        <is>
          <t>Resources for AI systems (42001 A.4.2–A.4.6)</t>
        </is>
      </c>
    </row>
    <row r="2" ht="30" customHeight="1">
      <c r="A2" s="3" t="inlineStr">
        <is>
          <t>For each AI system, document the data, tooling, system and computing, and human resources it depends on (A.4.3–A.4.6). Together with the inventory this is the resource documentation asked for in A.4.2.</t>
        </is>
      </c>
    </row>
    <row r="4" ht="32" customHeight="1">
      <c r="A4" s="9" t="inlineStr">
        <is>
          <t>AI system ID</t>
        </is>
      </c>
      <c r="B4" s="9" t="inlineStr">
        <is>
          <t>AI system</t>
        </is>
      </c>
      <c r="C4" s="9" t="inlineStr">
        <is>
          <t>Resource type</t>
        </is>
      </c>
      <c r="D4" s="9" t="inlineStr">
        <is>
          <t>Resource</t>
        </is>
      </c>
      <c r="E4" s="9" t="inlineStr">
        <is>
          <t>Provided by</t>
        </is>
      </c>
      <c r="F4" s="9" t="inlineStr">
        <is>
          <t>Linked assets</t>
        </is>
      </c>
      <c r="G4" s="9" t="inlineStr">
        <is>
          <t>Owner</t>
        </is>
      </c>
      <c r="H4" s="9" t="inlineStr">
        <is>
          <t>Controls in place</t>
        </is>
      </c>
      <c r="I4" s="9" t="inlineStr">
        <is>
          <t>42001 control</t>
        </is>
      </c>
    </row>
    <row r="5">
      <c r="A5" s="5" t="inlineStr">
        <is>
          <t>AI-SYS-001</t>
        </is>
      </c>
      <c r="B5" s="5" t="inlineStr">
        <is>
          <t>StoryFrame</t>
        </is>
      </c>
      <c r="C5" s="5" t="inlineStr">
        <is>
          <t>Data</t>
        </is>
      </c>
      <c r="D5" s="5" t="inlineStr">
        <is>
          <t>StoryFrame fine-tuning dataset DS-SF-2026-Q3 (3,159 images after quarantine)</t>
        </is>
      </c>
      <c r="E5" s="5" t="inlineStr">
        <is>
          <t>Internal, from licensed and consented artwork</t>
        </is>
      </c>
      <c r="F5" s="5" t="inlineStr">
        <is>
          <t>AST-006, AST-016</t>
        </is>
      </c>
      <c r="G5" s="5" t="inlineStr">
        <is>
          <t>[Data and ML Lead]</t>
        </is>
      </c>
      <c r="H5" s="5" t="inlineStr">
        <is>
          <t>Ledger check in pipeline; dataset record; Restricted storage</t>
        </is>
      </c>
      <c r="I5" s="5" t="inlineStr">
        <is>
          <t>A.4.3</t>
        </is>
      </c>
    </row>
    <row r="6">
      <c r="A6" s="5" t="inlineStr">
        <is>
          <t>AI-SYS-001</t>
        </is>
      </c>
      <c r="B6" s="5" t="inlineStr">
        <is>
          <t>StoryFrame</t>
        </is>
      </c>
      <c r="C6" s="5" t="inlineStr">
        <is>
          <t>Data</t>
        </is>
      </c>
      <c r="D6" s="5" t="inlineStr">
        <is>
          <t>Evaluation and red-team sets (prohibited content, likeness, style fidelity)</t>
        </is>
      </c>
      <c r="E6" s="5" t="inlineStr">
        <is>
          <t>Internal</t>
        </is>
      </c>
      <c r="F6" s="5" t="inlineStr">
        <is>
          <t>AST-017</t>
        </is>
      </c>
      <c r="G6" s="5" t="inlineStr">
        <is>
          <t>[Creative Director]</t>
        </is>
      </c>
      <c r="H6" s="5" t="inlineStr">
        <is>
          <t>Versioned; access limited to Trust &amp; Safety</t>
        </is>
      </c>
      <c r="I6" s="5" t="inlineStr">
        <is>
          <t>A.4.3</t>
        </is>
      </c>
    </row>
    <row r="7">
      <c r="A7" s="5" t="inlineStr">
        <is>
          <t>AI-SYS-001</t>
        </is>
      </c>
      <c r="B7" s="5" t="inlineStr">
        <is>
          <t>StoryFrame</t>
        </is>
      </c>
      <c r="C7" s="5" t="inlineStr">
        <is>
          <t>Tooling</t>
        </is>
      </c>
      <c r="D7" s="5" t="inlineStr">
        <is>
          <t>Training framework, model registry, experiment tracking, C2PA signing library</t>
        </is>
      </c>
      <c r="E7" s="5" t="inlineStr">
        <is>
          <t>Open source + internal</t>
        </is>
      </c>
      <c r="F7" s="5" t="inlineStr">
        <is>
          <t>AST-006</t>
        </is>
      </c>
      <c r="G7" s="5" t="inlineStr">
        <is>
          <t>[Data and ML Lead]</t>
        </is>
      </c>
      <c r="H7" s="5" t="inlineStr">
        <is>
          <t>Pinned versions; SCA scanning; registry access by group</t>
        </is>
      </c>
      <c r="I7" s="5" t="inlineStr">
        <is>
          <t>A.4.4</t>
        </is>
      </c>
    </row>
    <row r="8">
      <c r="A8" s="5" t="inlineStr">
        <is>
          <t>AI-SYS-001</t>
        </is>
      </c>
      <c r="B8" s="5" t="inlineStr">
        <is>
          <t>StoryFrame</t>
        </is>
      </c>
      <c r="C8" s="5" t="inlineStr">
        <is>
          <t>System and computing</t>
        </is>
      </c>
      <c r="D8" s="5" t="inlineStr">
        <is>
          <t>GPU training jobs (on demand) and inference endpoints, eu-west-1</t>
        </is>
      </c>
      <c r="E8" s="5" t="inlineStr">
        <is>
          <t>SUP-04 AWS</t>
        </is>
      </c>
      <c r="F8" s="5" t="inlineStr">
        <is>
          <t>AST-001</t>
        </is>
      </c>
      <c r="G8" s="5" t="inlineStr">
        <is>
          <t>[Platform Engineer]</t>
        </is>
      </c>
      <c r="H8" s="5" t="inlineStr">
        <is>
          <t>Budgets and quotas; IaC; separate training account</t>
        </is>
      </c>
      <c r="I8" s="5" t="inlineStr">
        <is>
          <t>A.4.5</t>
        </is>
      </c>
    </row>
    <row r="9">
      <c r="A9" s="5" t="inlineStr">
        <is>
          <t>AI-SYS-001</t>
        </is>
      </c>
      <c r="B9" s="5" t="inlineStr">
        <is>
          <t>StoryFrame</t>
        </is>
      </c>
      <c r="C9" s="5" t="inlineStr">
        <is>
          <t>Human</t>
        </is>
      </c>
      <c r="D9" s="5" t="inlineStr">
        <is>
          <t>ML engineers (2), Trust &amp; Safety reviewer (1), Artist Advisory Panel member</t>
        </is>
      </c>
      <c r="E9" s="5" t="inlineStr">
        <is>
          <t>Internal + panel</t>
        </is>
      </c>
      <c r="F9" s="5" t="inlineStr">
        <is>
          <t>—</t>
        </is>
      </c>
      <c r="G9" s="5" t="inlineStr">
        <is>
          <t>[Head of AI]</t>
        </is>
      </c>
      <c r="H9" s="5" t="inlineStr">
        <is>
          <t>Competence per IMS-REG-004; red-team training</t>
        </is>
      </c>
      <c r="I9" s="5" t="inlineStr">
        <is>
          <t>A.4.6</t>
        </is>
      </c>
    </row>
    <row r="10">
      <c r="A10" s="5" t="inlineStr">
        <is>
          <t>AI-SYS-002</t>
        </is>
      </c>
      <c r="B10" s="5" t="inlineStr">
        <is>
          <t>ScriptMate</t>
        </is>
      </c>
      <c r="C10" s="5" t="inlineStr">
        <is>
          <t>Data</t>
        </is>
      </c>
      <c r="D10" s="5" t="inlineStr">
        <is>
          <t>Customer scripts at run time; 120 synthetic test scripts</t>
        </is>
      </c>
      <c r="E10" s="5" t="inlineStr">
        <is>
          <t>Customers; internal</t>
        </is>
      </c>
      <c r="F10" s="5" t="inlineStr">
        <is>
          <t>AST-004</t>
        </is>
      </c>
      <c r="G10" s="5" t="inlineStr">
        <is>
          <t>[CTO]</t>
        </is>
      </c>
      <c r="H10" s="5" t="inlineStr">
        <is>
          <t>Zero-retention endpoint; synthetic data for tests</t>
        </is>
      </c>
      <c r="I10" s="5" t="inlineStr">
        <is>
          <t>A.4.3</t>
        </is>
      </c>
    </row>
    <row r="11">
      <c r="A11" s="5" t="inlineStr">
        <is>
          <t>AI-SYS-002</t>
        </is>
      </c>
      <c r="B11" s="5" t="inlineStr">
        <is>
          <t>ScriptMate</t>
        </is>
      </c>
      <c r="C11" s="5" t="inlineStr">
        <is>
          <t>Tooling</t>
        </is>
      </c>
      <c r="D11" s="5" t="inlineStr">
        <is>
          <t>Prompt templates, evaluation harness, leakage probe set</t>
        </is>
      </c>
      <c r="E11" s="5" t="inlineStr">
        <is>
          <t>Internal</t>
        </is>
      </c>
      <c r="F11" s="5" t="inlineStr">
        <is>
          <t>AST-018</t>
        </is>
      </c>
      <c r="G11" s="5" t="inlineStr">
        <is>
          <t>[Head of AI]</t>
        </is>
      </c>
      <c r="H11" s="5" t="inlineStr">
        <is>
          <t>Templates changed by pull request only</t>
        </is>
      </c>
      <c r="I11" s="5" t="inlineStr">
        <is>
          <t>A.4.4</t>
        </is>
      </c>
    </row>
    <row r="12">
      <c r="A12" s="5" t="inlineStr">
        <is>
          <t>AI-SYS-002</t>
        </is>
      </c>
      <c r="B12" s="5" t="inlineStr">
        <is>
          <t>ScriptMate</t>
        </is>
      </c>
      <c r="C12" s="5" t="inlineStr">
        <is>
          <t>System and computing</t>
        </is>
      </c>
      <c r="D12" s="5" t="inlineStr">
        <is>
          <t>Foundation-model API (pinned version)</t>
        </is>
      </c>
      <c r="E12" s="5" t="inlineStr">
        <is>
          <t>SUP-01</t>
        </is>
      </c>
      <c r="F12" s="5" t="inlineStr">
        <is>
          <t>AST-008</t>
        </is>
      </c>
      <c r="G12" s="5" t="inlineStr">
        <is>
          <t>[Platform Engineer]</t>
        </is>
      </c>
      <c r="H12" s="5" t="inlineStr">
        <is>
          <t>Keys in secrets manager; per-tenant quotas</t>
        </is>
      </c>
      <c r="I12" s="5" t="inlineStr">
        <is>
          <t>A.4.5</t>
        </is>
      </c>
    </row>
    <row r="13">
      <c r="A13" s="5" t="inlineStr">
        <is>
          <t>AI-SYS-003</t>
        </is>
      </c>
      <c r="B13" s="5" t="inlineStr">
        <is>
          <t>ArtistMatch</t>
        </is>
      </c>
      <c r="C13" s="5" t="inlineStr">
        <is>
          <t>Data</t>
        </is>
      </c>
      <c r="D13" s="5" t="inlineStr">
        <is>
          <t>Artist features (style embeddings, availability, ratings) and fairness eval set</t>
        </is>
      </c>
      <c r="E13" s="5" t="inlineStr">
        <is>
          <t>Internal (Commons data)</t>
        </is>
      </c>
      <c r="F13" s="5" t="inlineStr">
        <is>
          <t>AST-005, AST-007</t>
        </is>
      </c>
      <c r="G13" s="5" t="inlineStr">
        <is>
          <t>[Data and ML Lead]</t>
        </is>
      </c>
      <c r="H13" s="5" t="inlineStr">
        <is>
          <t>Pseudonymised artist IDs; bias note per version</t>
        </is>
      </c>
      <c r="I13" s="5" t="inlineStr">
        <is>
          <t>A.4.3</t>
        </is>
      </c>
    </row>
    <row r="14">
      <c r="A14" s="5" t="inlineStr">
        <is>
          <t>AI-SYS-003</t>
        </is>
      </c>
      <c r="B14" s="5" t="inlineStr">
        <is>
          <t>ArtistMatch</t>
        </is>
      </c>
      <c r="C14" s="5" t="inlineStr">
        <is>
          <t>Tooling</t>
        </is>
      </c>
      <c r="D14" s="5" t="inlineStr">
        <is>
          <t>Ranking library, fairness metrics toolkit, monitoring dashboard</t>
        </is>
      </c>
      <c r="E14" s="5" t="inlineStr">
        <is>
          <t>Open source + internal</t>
        </is>
      </c>
      <c r="F14" s="5" t="inlineStr">
        <is>
          <t>AST-007</t>
        </is>
      </c>
      <c r="G14" s="5" t="inlineStr">
        <is>
          <t>[Data and ML Lead]</t>
        </is>
      </c>
      <c r="H14" s="5" t="inlineStr">
        <is>
          <t>Weekly exposure-ratio job; alert planned (OFI-2026-05)</t>
        </is>
      </c>
      <c r="I14" s="5" t="inlineStr">
        <is>
          <t>A.4.4</t>
        </is>
      </c>
    </row>
    <row r="15">
      <c r="A15" s="5" t="inlineStr">
        <is>
          <t>AI-SYS-003</t>
        </is>
      </c>
      <c r="B15" s="5" t="inlineStr">
        <is>
          <t>ArtistMatch</t>
        </is>
      </c>
      <c r="C15" s="5" t="inlineStr">
        <is>
          <t>Human</t>
        </is>
      </c>
      <c r="D15" s="5" t="inlineStr">
        <is>
          <t>Data scientist (1), Commons product owner, artist appeals handler</t>
        </is>
      </c>
      <c r="E15" s="5" t="inlineStr">
        <is>
          <t>Internal</t>
        </is>
      </c>
      <c r="F15" s="5" t="inlineStr">
        <is>
          <t>—</t>
        </is>
      </c>
      <c r="G15" s="5" t="inlineStr">
        <is>
          <t>[Head of AI]</t>
        </is>
      </c>
      <c r="H15" s="5" t="inlineStr">
        <is>
          <t>Appeals reviewed within 10 working days</t>
        </is>
      </c>
      <c r="I15" s="5" t="inlineStr">
        <is>
          <t>A.4.6</t>
        </is>
      </c>
    </row>
    <row r="16">
      <c r="A16" s="5" t="inlineStr">
        <is>
          <t>AI-SYS-004</t>
        </is>
      </c>
      <c r="B16" s="5" t="inlineStr">
        <is>
          <t>SafeFrame</t>
        </is>
      </c>
      <c r="C16" s="5" t="inlineStr">
        <is>
          <t>System and computing</t>
        </is>
      </c>
      <c r="D16" s="5" t="inlineStr">
        <is>
          <t>Vendor moderation API; our likeness-check service on AWS</t>
        </is>
      </c>
      <c r="E16" s="5" t="inlineStr">
        <is>
          <t>SUP-03; SUP-04</t>
        </is>
      </c>
      <c r="F16" s="5" t="inlineStr">
        <is>
          <t>AST-001, AST-008</t>
        </is>
      </c>
      <c r="G16" s="5" t="inlineStr">
        <is>
          <t>[Platform Engineer]</t>
        </is>
      </c>
      <c r="H16" s="5" t="inlineStr">
        <is>
          <t>Version pinned; fail-closed if vendor unavailable</t>
        </is>
      </c>
      <c r="I16" s="5" t="inlineStr">
        <is>
          <t>A.4.5</t>
        </is>
      </c>
    </row>
    <row r="17">
      <c r="A17" s="5" t="inlineStr">
        <is>
          <t>AI-SYS-005</t>
        </is>
      </c>
      <c r="B17" s="5" t="inlineStr">
        <is>
          <t>CodeAssist</t>
        </is>
      </c>
      <c r="C17" s="5" t="inlineStr">
        <is>
          <t>Tooling</t>
        </is>
      </c>
      <c r="D17" s="5" t="inlineStr">
        <is>
          <t>IDE plug-in, business plan admin console</t>
        </is>
      </c>
      <c r="E17" s="5" t="inlineStr">
        <is>
          <t>SUP-07</t>
        </is>
      </c>
      <c r="F17" s="5" t="inlineStr">
        <is>
          <t>AST-009</t>
        </is>
      </c>
      <c r="G17" s="5" t="inlineStr">
        <is>
          <t>[CTO]</t>
        </is>
      </c>
      <c r="H17" s="5" t="inlineStr">
        <is>
          <t>Training on our code disabled; telemetry minimised</t>
        </is>
      </c>
      <c r="I17" s="5" t="inlineStr">
        <is>
          <t>A.4.4</t>
        </is>
      </c>
    </row>
    <row r="18">
      <c r="A18" s="11" t="inlineStr">
        <is>
          <t>[AI-SYS-0xx]</t>
        </is>
      </c>
      <c r="B18" s="11" t="inlineStr">
        <is>
          <t>[name]</t>
        </is>
      </c>
      <c r="C18" s="11" t="inlineStr">
        <is>
          <t>[type]</t>
        </is>
      </c>
      <c r="D18" s="11" t="inlineStr">
        <is>
          <t>[resource]</t>
        </is>
      </c>
      <c r="E18" s="11" t="inlineStr">
        <is>
          <t>[provided by]</t>
        </is>
      </c>
      <c r="F18" s="11" t="inlineStr">
        <is>
          <t>[asset IDs]</t>
        </is>
      </c>
      <c r="G18" s="11" t="inlineStr">
        <is>
          <t>[owner]</t>
        </is>
      </c>
      <c r="H18" s="11" t="inlineStr">
        <is>
          <t>[controls]</t>
        </is>
      </c>
      <c r="I18" s="11" t="inlineStr">
        <is>
          <t>[A.4.x]</t>
        </is>
      </c>
    </row>
    <row r="19">
      <c r="A19" s="5"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c r="A23" s="5" t="n"/>
      <c r="B23" s="5" t="n"/>
      <c r="C23" s="5" t="n"/>
      <c r="D23" s="5" t="n"/>
      <c r="E23" s="5" t="n"/>
      <c r="F23" s="5" t="n"/>
      <c r="G23" s="5" t="n"/>
      <c r="H23" s="5" t="n"/>
      <c r="I23" s="5" t="n"/>
    </row>
    <row r="24">
      <c r="A24" s="5" t="n"/>
      <c r="B24" s="5" t="n"/>
      <c r="C24" s="5" t="n"/>
      <c r="D24" s="5" t="n"/>
      <c r="E24" s="5" t="n"/>
      <c r="F24" s="5" t="n"/>
      <c r="G24" s="5" t="n"/>
      <c r="H24" s="5" t="n"/>
      <c r="I24" s="5" t="n"/>
    </row>
    <row r="25">
      <c r="A25" s="5"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c r="A29" s="5" t="n"/>
      <c r="B29" s="5" t="n"/>
      <c r="C29" s="5" t="n"/>
      <c r="D29" s="5" t="n"/>
      <c r="E29" s="5" t="n"/>
      <c r="F29" s="5" t="n"/>
      <c r="G29" s="5" t="n"/>
      <c r="H29" s="5" t="n"/>
      <c r="I29" s="5" t="n"/>
    </row>
    <row r="30">
      <c r="A30" s="5" t="n"/>
      <c r="B30" s="5" t="n"/>
      <c r="C30" s="5" t="n"/>
      <c r="D30" s="5" t="n"/>
      <c r="E30" s="5" t="n"/>
      <c r="F30" s="5" t="n"/>
      <c r="G30" s="5" t="n"/>
      <c r="H30" s="5" t="n"/>
      <c r="I30" s="5" t="n"/>
    </row>
    <row r="31">
      <c r="A31" s="5" t="n"/>
      <c r="B31" s="5" t="n"/>
      <c r="C31" s="5" t="n"/>
      <c r="D31" s="5" t="n"/>
      <c r="E31" s="5" t="n"/>
      <c r="F31" s="5" t="n"/>
      <c r="G31" s="5" t="n"/>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sheetData>
  <autoFilter ref="A4:I48"/>
  <mergeCells count="1">
    <mergeCell ref="A2:I2"/>
  </mergeCells>
  <dataValidations count="2">
    <dataValidation sqref="C5:C48" showDropDown="0" showInputMessage="0" showErrorMessage="0" allowBlank="1" errorTitle="Invalid value" error="Pick a value from the list." type="list">
      <formula1>"Data,Tooling,System and computing,Human"</formula1>
    </dataValidation>
    <dataValidation sqref="I5:I48" showDropDown="0" showInputMessage="0" showErrorMessage="0" allowBlank="1" errorTitle="Invalid value" error="Pick a value from the list." type="list">
      <formula1>"A.4.2,A.4.3,A.4.4,A.4.5,A.4.6"</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O4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16" customWidth="1" min="4" max="4"/>
    <col width="26" customWidth="1" min="5" max="5"/>
    <col width="30" customWidth="1" min="6" max="6"/>
    <col width="16" customWidth="1" min="7" max="7"/>
    <col width="34" customWidth="1" min="8" max="8"/>
    <col width="26" customWidth="1" min="9" max="9"/>
    <col width="34" customWidth="1" min="10" max="10"/>
    <col width="28" customWidth="1" min="11" max="11"/>
    <col width="12" customWidth="1" min="12" max="12"/>
    <col width="12" customWidth="1" min="13" max="13"/>
    <col width="12" customWidth="1" min="14" max="14"/>
    <col width="14" customWidth="1" min="15" max="15"/>
  </cols>
  <sheetData>
    <row r="1">
      <c r="A1" s="8" t="inlineStr">
        <is>
          <t>Supplier summary (27001 5.19–5.23; 42001 A.10.2–A.10.3)</t>
        </is>
      </c>
    </row>
    <row r="2" ht="30" customHeight="1">
      <c r="A2" s="3" t="inlineStr">
        <is>
          <t>Same records as the supplier register in IMS-POL-006. Tier 1 suppliers are reviewed every 6–12 months; 'Review status' turns red when the next review date has passed.</t>
        </is>
      </c>
    </row>
    <row r="4" ht="32" customHeight="1">
      <c r="A4" s="9" t="inlineStr">
        <is>
          <t>Supplier ID</t>
        </is>
      </c>
      <c r="B4" s="9" t="inlineStr">
        <is>
          <t>Supplier</t>
        </is>
      </c>
      <c r="C4" s="9" t="inlineStr">
        <is>
          <t>Service</t>
        </is>
      </c>
      <c r="D4" s="9" t="inlineStr">
        <is>
          <t>Tier</t>
        </is>
      </c>
      <c r="E4" s="9" t="inlineStr">
        <is>
          <t>Supports (systems / assets)</t>
        </is>
      </c>
      <c r="F4" s="9" t="inlineStr">
        <is>
          <t>Data shared (highest class)</t>
        </is>
      </c>
      <c r="G4" s="9" t="inlineStr">
        <is>
          <t>Region</t>
        </is>
      </c>
      <c r="H4" s="9" t="inlineStr">
        <is>
          <t>AI clauses</t>
        </is>
      </c>
      <c r="I4" s="9" t="inlineStr">
        <is>
          <t>Version pinning</t>
        </is>
      </c>
      <c r="J4" s="9" t="inlineStr">
        <is>
          <t>Evidence</t>
        </is>
      </c>
      <c r="K4" s="9" t="inlineStr">
        <is>
          <t>Supplier owner</t>
        </is>
      </c>
      <c r="L4" s="9" t="inlineStr">
        <is>
          <t>Last review</t>
        </is>
      </c>
      <c r="M4" s="9" t="inlineStr">
        <is>
          <t>Next review</t>
        </is>
      </c>
      <c r="N4" s="9" t="inlineStr">
        <is>
          <t>Review status</t>
        </is>
      </c>
      <c r="O4" s="9" t="inlineStr">
        <is>
          <t>Contract status</t>
        </is>
      </c>
    </row>
    <row r="5">
      <c r="A5" s="5" t="inlineStr">
        <is>
          <t>SUP-01</t>
        </is>
      </c>
      <c r="B5" s="5" t="inlineStr">
        <is>
          <t>Foundation-model provider (enterprise API)</t>
        </is>
      </c>
      <c r="C5" s="5" t="inlineStr">
        <is>
          <t>Text model behind ScriptMate</t>
        </is>
      </c>
      <c r="D5" s="5" t="inlineStr">
        <is>
          <t>Tier 1 — Critical</t>
        </is>
      </c>
      <c r="E5" s="5" t="inlineStr">
        <is>
          <t>AI-SYS-002; AST-004, AST-008</t>
        </is>
      </c>
      <c r="F5" s="5" t="inlineStr">
        <is>
          <t>Restricted (customer scripts, in transit only)</t>
        </is>
      </c>
      <c r="G5" s="5" t="inlineStr">
        <is>
          <t>US (EU processing option)</t>
        </is>
      </c>
      <c r="H5" s="5" t="inlineStr">
        <is>
          <t>Yes — no training, zero retention, 60-day change notice</t>
        </is>
      </c>
      <c r="I5" s="5" t="inlineStr">
        <is>
          <t>Yes — dated model version pinned</t>
        </is>
      </c>
      <c r="J5" s="5" t="inlineStr">
        <is>
          <t>SOC 2 Type II; ISO/IEC 27001; ISO/IEC 42001; model card and system card</t>
        </is>
      </c>
      <c r="K5" s="5" t="inlineStr">
        <is>
          <t>[Head of AI]</t>
        </is>
      </c>
      <c r="L5" s="10" t="n">
        <v>46183</v>
      </c>
      <c r="M5" s="10" t="n">
        <v>46548</v>
      </c>
      <c r="N5" s="5">
        <f>IF(M5="","",IF(M5&lt;TODAY(),"Overdue","On track"))</f>
        <v/>
      </c>
      <c r="O5" s="5" t="inlineStr">
        <is>
          <t>Implemented</t>
        </is>
      </c>
    </row>
    <row r="6">
      <c r="A6" s="5" t="inlineStr">
        <is>
          <t>SUP-02</t>
        </is>
      </c>
      <c r="B6" s="5" t="inlineStr">
        <is>
          <t>Image-model provider (licensed base model)</t>
        </is>
      </c>
      <c r="C6" s="5" t="inlineStr">
        <is>
          <t>Base image model fine-tuned for StoryFrame</t>
        </is>
      </c>
      <c r="D6" s="5" t="inlineStr">
        <is>
          <t>Tier 1 — Critical</t>
        </is>
      </c>
      <c r="E6" s="5" t="inlineStr">
        <is>
          <t>AI-SYS-001; AST-006</t>
        </is>
      </c>
      <c r="F6" s="5" t="inlineStr">
        <is>
          <t>Restricted (fine-tuning data, model weights)</t>
        </is>
      </c>
      <c r="G6" s="5" t="inlineStr">
        <is>
          <t>EU</t>
        </is>
      </c>
      <c r="H6" s="5" t="inlineStr">
        <is>
          <t>Yes — training-data provenance statement, 30-day retention, change notice</t>
        </is>
      </c>
      <c r="I6" s="5" t="inlineStr">
        <is>
          <t>Yes — base version pinned</t>
        </is>
      </c>
      <c r="J6" s="5" t="inlineStr">
        <is>
          <t>ISO/IEC 27001; licence warranty and IP indemnity; evaluation summary</t>
        </is>
      </c>
      <c r="K6" s="5" t="inlineStr">
        <is>
          <t>[Data and ML Lead]</t>
        </is>
      </c>
      <c r="L6" s="10" t="n">
        <v>46270</v>
      </c>
      <c r="M6" s="10" t="n">
        <v>46451</v>
      </c>
      <c r="N6" s="5">
        <f>IF(M6="","",IF(M6&lt;TODAY(),"Overdue","On track"))</f>
        <v/>
      </c>
      <c r="O6" s="5" t="inlineStr">
        <is>
          <t>Implemented</t>
        </is>
      </c>
    </row>
    <row r="7">
      <c r="A7" s="5" t="inlineStr">
        <is>
          <t>SUP-03</t>
        </is>
      </c>
      <c r="B7" s="5" t="inlineStr">
        <is>
          <t>SafeFrame vendor (content moderation)</t>
        </is>
      </c>
      <c r="C7" s="5" t="inlineStr">
        <is>
          <t>Prompt and image screening for prohibited content</t>
        </is>
      </c>
      <c r="D7" s="5" t="inlineStr">
        <is>
          <t>Tier 1 — Critical</t>
        </is>
      </c>
      <c r="E7" s="5" t="inlineStr">
        <is>
          <t>AI-SYS-004, AI-SYS-001</t>
        </is>
      </c>
      <c r="F7" s="5" t="inlineStr">
        <is>
          <t>Restricted (prompts and generated images)</t>
        </is>
      </c>
      <c r="G7" s="5" t="inlineStr">
        <is>
          <t>EU</t>
        </is>
      </c>
      <c r="H7" s="5" t="inlineStr">
        <is>
          <t>Partial — change-notice and pinning clause being added (CA-2026-004)</t>
        </is>
      </c>
      <c r="I7" s="5" t="inlineStr">
        <is>
          <t>Yes — via console (since INC-2026-007)</t>
        </is>
      </c>
      <c r="J7" s="5" t="inlineStr">
        <is>
          <t>SOC 2 Type II; detection-rate report quarterly</t>
        </is>
      </c>
      <c r="K7" s="5" t="inlineStr">
        <is>
          <t>[Creative Director]</t>
        </is>
      </c>
      <c r="L7" s="10" t="n">
        <v>46254</v>
      </c>
      <c r="M7" s="10" t="n">
        <v>46356</v>
      </c>
      <c r="N7" s="5">
        <f>IF(M7="","",IF(M7&lt;TODAY(),"Overdue","On track"))</f>
        <v/>
      </c>
      <c r="O7" s="5" t="inlineStr">
        <is>
          <t>In progress</t>
        </is>
      </c>
    </row>
    <row r="8">
      <c r="A8" s="5" t="inlineStr">
        <is>
          <t>SUP-04</t>
        </is>
      </c>
      <c r="B8" s="5" t="inlineStr">
        <is>
          <t>AWS</t>
        </is>
      </c>
      <c r="C8" s="5" t="inlineStr">
        <is>
          <t>Cloud hosting, storage, compute (eu-west-1, me-central-1)</t>
        </is>
      </c>
      <c r="D8" s="5" t="inlineStr">
        <is>
          <t>Tier 1 — Critical</t>
        </is>
      </c>
      <c r="E8" s="5" t="inlineStr">
        <is>
          <t>AST-001, AST-004, AST-005, AST-006, AST-012</t>
        </is>
      </c>
      <c r="F8" s="5" t="inlineStr">
        <is>
          <t>Restricted (all production data, encrypted)</t>
        </is>
      </c>
      <c r="G8" s="5" t="inlineStr">
        <is>
          <t>EU and UAE</t>
        </is>
      </c>
      <c r="H8" s="5" t="inlineStr">
        <is>
          <t>Not applicable (infrastructure); AI services not used for our data</t>
        </is>
      </c>
      <c r="I8" s="5" t="inlineStr">
        <is>
          <t>Not applicable</t>
        </is>
      </c>
      <c r="J8" s="5" t="inlineStr">
        <is>
          <t>ISO/IEC 27001, 27017, 27018; SOC 2; shared-responsibility model reviewed</t>
        </is>
      </c>
      <c r="K8" s="5" t="inlineStr">
        <is>
          <t>[Platform Engineer]</t>
        </is>
      </c>
      <c r="L8" s="10" t="n">
        <v>46157</v>
      </c>
      <c r="M8" s="10" t="n">
        <v>46522</v>
      </c>
      <c r="N8" s="5">
        <f>IF(M8="","",IF(M8&lt;TODAY(),"Overdue","On track"))</f>
        <v/>
      </c>
      <c r="O8" s="5" t="inlineStr">
        <is>
          <t>Implemented</t>
        </is>
      </c>
    </row>
    <row r="9">
      <c r="A9" s="5" t="inlineStr">
        <is>
          <t>SUP-05</t>
        </is>
      </c>
      <c r="B9" s="5" t="inlineStr">
        <is>
          <t>GitHub</t>
        </is>
      </c>
      <c r="C9" s="5" t="inlineStr">
        <is>
          <t>Source code hosting, CI/CD, code scanning</t>
        </is>
      </c>
      <c r="D9" s="5" t="inlineStr">
        <is>
          <t>Tier 2 — Important</t>
        </is>
      </c>
      <c r="E9" s="5" t="inlineStr">
        <is>
          <t>AST-002, AST-009</t>
        </is>
      </c>
      <c r="F9" s="5" t="inlineStr">
        <is>
          <t>Confidential (source code)</t>
        </is>
      </c>
      <c r="G9" s="5" t="inlineStr">
        <is>
          <t>US</t>
        </is>
      </c>
      <c r="H9" s="5" t="inlineStr">
        <is>
          <t>Not applicable</t>
        </is>
      </c>
      <c r="I9" s="5" t="inlineStr">
        <is>
          <t>Not applicable</t>
        </is>
      </c>
      <c r="J9" s="5" t="inlineStr">
        <is>
          <t>SOC 2 Type II; ISO/IEC 27001</t>
        </is>
      </c>
      <c r="K9" s="5" t="inlineStr">
        <is>
          <t>[CTO]</t>
        </is>
      </c>
      <c r="L9" s="10" t="n">
        <v>46114</v>
      </c>
      <c r="M9" s="10" t="n">
        <v>46479</v>
      </c>
      <c r="N9" s="5">
        <f>IF(M9="","",IF(M9&lt;TODAY(),"Overdue","On track"))</f>
        <v/>
      </c>
      <c r="O9" s="5" t="inlineStr">
        <is>
          <t>Implemented</t>
        </is>
      </c>
    </row>
    <row r="10">
      <c r="A10" s="5" t="inlineStr">
        <is>
          <t>SUP-06</t>
        </is>
      </c>
      <c r="B10" s="5" t="inlineStr">
        <is>
          <t>Payment processor (PCI DSS Level 1)</t>
        </is>
      </c>
      <c r="C10" s="5" t="inlineStr">
        <is>
          <t>Card payments and artist payouts for Commons</t>
        </is>
      </c>
      <c r="D10" s="5" t="inlineStr">
        <is>
          <t>Tier 1 — Critical</t>
        </is>
      </c>
      <c r="E10" s="5" t="inlineStr">
        <is>
          <t>AST-003</t>
        </is>
      </c>
      <c r="F10" s="5" t="inlineStr">
        <is>
          <t>Confidential (payout details; card data never reaches us)</t>
        </is>
      </c>
      <c r="G10" s="5" t="inlineStr">
        <is>
          <t>EU and US</t>
        </is>
      </c>
      <c r="H10" s="5" t="inlineStr">
        <is>
          <t>Not applicable (fraud ML is theirs; we only receive scores)</t>
        </is>
      </c>
      <c r="I10" s="5" t="inlineStr">
        <is>
          <t>Not applicable</t>
        </is>
      </c>
      <c r="J10" s="5" t="inlineStr">
        <is>
          <t>PCI DSS Attestation of Compliance; SOC 2</t>
        </is>
      </c>
      <c r="K10" s="5" t="inlineStr">
        <is>
          <t>[People and Operations Lead]</t>
        </is>
      </c>
      <c r="L10" s="10" t="n">
        <v>46101</v>
      </c>
      <c r="M10" s="10" t="n">
        <v>46466</v>
      </c>
      <c r="N10" s="5">
        <f>IF(M10="","",IF(M10&lt;TODAY(),"Overdue","On track"))</f>
        <v/>
      </c>
      <c r="O10" s="5" t="inlineStr">
        <is>
          <t>Implemented</t>
        </is>
      </c>
    </row>
    <row r="11">
      <c r="A11" s="5" t="inlineStr">
        <is>
          <t>SUP-07</t>
        </is>
      </c>
      <c r="B11" s="5" t="inlineStr">
        <is>
          <t>CodeAssist vendor (AI coding assistant, business plan)</t>
        </is>
      </c>
      <c r="C11" s="5" t="inlineStr">
        <is>
          <t>Code suggestions in the IDE</t>
        </is>
      </c>
      <c r="D11" s="5" t="inlineStr">
        <is>
          <t>Tier 2 — Important</t>
        </is>
      </c>
      <c r="E11" s="5" t="inlineStr">
        <is>
          <t>AI-SYS-005; AST-009</t>
        </is>
      </c>
      <c r="F11" s="5" t="inlineStr">
        <is>
          <t>Confidential (code snippets in prompts)</t>
        </is>
      </c>
      <c r="G11" s="5" t="inlineStr">
        <is>
          <t>US</t>
        </is>
      </c>
      <c r="H11" s="5" t="inlineStr">
        <is>
          <t>Yes — no training on our code, no retention of prompts</t>
        </is>
      </c>
      <c r="I11" s="5" t="inlineStr">
        <is>
          <t>Not available — vendor updates centrally</t>
        </is>
      </c>
      <c r="J11" s="5" t="inlineStr">
        <is>
          <t>SOC 2 Type II; admin settings screenshot on file</t>
        </is>
      </c>
      <c r="K11" s="5" t="inlineStr">
        <is>
          <t>[CTO]</t>
        </is>
      </c>
      <c r="L11" s="10" t="n">
        <v>46204</v>
      </c>
      <c r="M11" s="10" t="n">
        <v>46569</v>
      </c>
      <c r="N11" s="5">
        <f>IF(M11="","",IF(M11&lt;TODAY(),"Overdue","On track"))</f>
        <v/>
      </c>
      <c r="O11" s="5" t="inlineStr">
        <is>
          <t>Implemented</t>
        </is>
      </c>
    </row>
    <row r="12">
      <c r="A12" s="5" t="inlineStr">
        <is>
          <t>SUP-08</t>
        </is>
      </c>
      <c r="B12" s="11" t="inlineStr">
        <is>
          <t>[supplier name]</t>
        </is>
      </c>
      <c r="C12" s="11" t="inlineStr">
        <is>
          <t>[service]</t>
        </is>
      </c>
      <c r="D12" s="11" t="inlineStr">
        <is>
          <t>[tier]</t>
        </is>
      </c>
      <c r="E12" s="11" t="inlineStr">
        <is>
          <t>[systems / assets]</t>
        </is>
      </c>
      <c r="F12" s="11" t="inlineStr">
        <is>
          <t>[data class]</t>
        </is>
      </c>
      <c r="G12" s="11" t="inlineStr">
        <is>
          <t>[region]</t>
        </is>
      </c>
      <c r="H12" s="11" t="inlineStr">
        <is>
          <t>[Yes / Partial / No]</t>
        </is>
      </c>
      <c r="I12" s="11" t="inlineStr">
        <is>
          <t>[Yes / No / n/a]</t>
        </is>
      </c>
      <c r="J12" s="11" t="inlineStr">
        <is>
          <t>[evidence]</t>
        </is>
      </c>
      <c r="K12" s="11" t="inlineStr">
        <is>
          <t>[owner]</t>
        </is>
      </c>
      <c r="L12" s="11" t="inlineStr">
        <is>
          <t>[date]</t>
        </is>
      </c>
      <c r="M12" s="11" t="inlineStr">
        <is>
          <t>[date]</t>
        </is>
      </c>
      <c r="N12" s="5">
        <f>IF(M12="","",IF(M12&lt;TODAY(),"Overdue","On track"))</f>
        <v/>
      </c>
      <c r="O12" s="5" t="inlineStr">
        <is>
          <t>Planned</t>
        </is>
      </c>
    </row>
    <row r="13">
      <c r="A13" s="5" t="n"/>
      <c r="B13" s="5" t="n"/>
      <c r="C13" s="5" t="n"/>
      <c r="D13" s="5" t="n"/>
      <c r="E13" s="5" t="n"/>
      <c r="F13" s="5" t="n"/>
      <c r="G13" s="5" t="n"/>
      <c r="H13" s="5" t="n"/>
      <c r="I13" s="5" t="n"/>
      <c r="J13" s="5" t="n"/>
      <c r="K13" s="5" t="n"/>
      <c r="L13" s="5" t="n"/>
      <c r="M13" s="5" t="n"/>
      <c r="N13" s="5">
        <f>IF(M13="","",IF(M13&lt;TODAY(),"Overdue","On track"))</f>
        <v/>
      </c>
      <c r="O13" s="5" t="n"/>
    </row>
    <row r="14">
      <c r="A14" s="5" t="n"/>
      <c r="B14" s="5" t="n"/>
      <c r="C14" s="5" t="n"/>
      <c r="D14" s="5" t="n"/>
      <c r="E14" s="5" t="n"/>
      <c r="F14" s="5" t="n"/>
      <c r="G14" s="5" t="n"/>
      <c r="H14" s="5" t="n"/>
      <c r="I14" s="5" t="n"/>
      <c r="J14" s="5" t="n"/>
      <c r="K14" s="5" t="n"/>
      <c r="L14" s="5" t="n"/>
      <c r="M14" s="5" t="n"/>
      <c r="N14" s="5">
        <f>IF(M14="","",IF(M14&lt;TODAY(),"Overdue","On track"))</f>
        <v/>
      </c>
      <c r="O14" s="5" t="n"/>
    </row>
    <row r="15">
      <c r="A15" s="5" t="n"/>
      <c r="B15" s="5" t="n"/>
      <c r="C15" s="5" t="n"/>
      <c r="D15" s="5" t="n"/>
      <c r="E15" s="5" t="n"/>
      <c r="F15" s="5" t="n"/>
      <c r="G15" s="5" t="n"/>
      <c r="H15" s="5" t="n"/>
      <c r="I15" s="5" t="n"/>
      <c r="J15" s="5" t="n"/>
      <c r="K15" s="5" t="n"/>
      <c r="L15" s="5" t="n"/>
      <c r="M15" s="5" t="n"/>
      <c r="N15" s="5">
        <f>IF(M15="","",IF(M15&lt;TODAY(),"Overdue","On track"))</f>
        <v/>
      </c>
      <c r="O15" s="5" t="n"/>
    </row>
    <row r="16">
      <c r="A16" s="5" t="n"/>
      <c r="B16" s="5" t="n"/>
      <c r="C16" s="5" t="n"/>
      <c r="D16" s="5" t="n"/>
      <c r="E16" s="5" t="n"/>
      <c r="F16" s="5" t="n"/>
      <c r="G16" s="5" t="n"/>
      <c r="H16" s="5" t="n"/>
      <c r="I16" s="5" t="n"/>
      <c r="J16" s="5" t="n"/>
      <c r="K16" s="5" t="n"/>
      <c r="L16" s="5" t="n"/>
      <c r="M16" s="5" t="n"/>
      <c r="N16" s="5">
        <f>IF(M16="","",IF(M16&lt;TODAY(),"Overdue","On track"))</f>
        <v/>
      </c>
      <c r="O16" s="5" t="n"/>
    </row>
    <row r="17">
      <c r="A17" s="5" t="n"/>
      <c r="B17" s="5" t="n"/>
      <c r="C17" s="5" t="n"/>
      <c r="D17" s="5" t="n"/>
      <c r="E17" s="5" t="n"/>
      <c r="F17" s="5" t="n"/>
      <c r="G17" s="5" t="n"/>
      <c r="H17" s="5" t="n"/>
      <c r="I17" s="5" t="n"/>
      <c r="J17" s="5" t="n"/>
      <c r="K17" s="5" t="n"/>
      <c r="L17" s="5" t="n"/>
      <c r="M17" s="5" t="n"/>
      <c r="N17" s="5">
        <f>IF(M17="","",IF(M17&lt;TODAY(),"Overdue","On track"))</f>
        <v/>
      </c>
      <c r="O17" s="5" t="n"/>
    </row>
    <row r="18">
      <c r="A18" s="5" t="n"/>
      <c r="B18" s="5" t="n"/>
      <c r="C18" s="5" t="n"/>
      <c r="D18" s="5" t="n"/>
      <c r="E18" s="5" t="n"/>
      <c r="F18" s="5" t="n"/>
      <c r="G18" s="5" t="n"/>
      <c r="H18" s="5" t="n"/>
      <c r="I18" s="5" t="n"/>
      <c r="J18" s="5" t="n"/>
      <c r="K18" s="5" t="n"/>
      <c r="L18" s="5" t="n"/>
      <c r="M18" s="5" t="n"/>
      <c r="N18" s="5">
        <f>IF(M18="","",IF(M18&lt;TODAY(),"Overdue","On track"))</f>
        <v/>
      </c>
      <c r="O18" s="5" t="n"/>
    </row>
    <row r="19">
      <c r="A19" s="5" t="n"/>
      <c r="B19" s="5" t="n"/>
      <c r="C19" s="5" t="n"/>
      <c r="D19" s="5" t="n"/>
      <c r="E19" s="5" t="n"/>
      <c r="F19" s="5" t="n"/>
      <c r="G19" s="5" t="n"/>
      <c r="H19" s="5" t="n"/>
      <c r="I19" s="5" t="n"/>
      <c r="J19" s="5" t="n"/>
      <c r="K19" s="5" t="n"/>
      <c r="L19" s="5" t="n"/>
      <c r="M19" s="5" t="n"/>
      <c r="N19" s="5">
        <f>IF(M19="","",IF(M19&lt;TODAY(),"Overdue","On track"))</f>
        <v/>
      </c>
      <c r="O19" s="5" t="n"/>
    </row>
    <row r="20">
      <c r="A20" s="5" t="n"/>
      <c r="B20" s="5" t="n"/>
      <c r="C20" s="5" t="n"/>
      <c r="D20" s="5" t="n"/>
      <c r="E20" s="5" t="n"/>
      <c r="F20" s="5" t="n"/>
      <c r="G20" s="5" t="n"/>
      <c r="H20" s="5" t="n"/>
      <c r="I20" s="5" t="n"/>
      <c r="J20" s="5" t="n"/>
      <c r="K20" s="5" t="n"/>
      <c r="L20" s="5" t="n"/>
      <c r="M20" s="5" t="n"/>
      <c r="N20" s="5">
        <f>IF(M20="","",IF(M20&lt;TODAY(),"Overdue","On track"))</f>
        <v/>
      </c>
      <c r="O20" s="5" t="n"/>
    </row>
    <row r="21">
      <c r="A21" s="5" t="n"/>
      <c r="B21" s="5" t="n"/>
      <c r="C21" s="5" t="n"/>
      <c r="D21" s="5" t="n"/>
      <c r="E21" s="5" t="n"/>
      <c r="F21" s="5" t="n"/>
      <c r="G21" s="5" t="n"/>
      <c r="H21" s="5" t="n"/>
      <c r="I21" s="5" t="n"/>
      <c r="J21" s="5" t="n"/>
      <c r="K21" s="5" t="n"/>
      <c r="L21" s="5" t="n"/>
      <c r="M21" s="5" t="n"/>
      <c r="N21" s="5">
        <f>IF(M21="","",IF(M21&lt;TODAY(),"Overdue","On track"))</f>
        <v/>
      </c>
      <c r="O21" s="5" t="n"/>
    </row>
    <row r="22">
      <c r="A22" s="5" t="n"/>
      <c r="B22" s="5" t="n"/>
      <c r="C22" s="5" t="n"/>
      <c r="D22" s="5" t="n"/>
      <c r="E22" s="5" t="n"/>
      <c r="F22" s="5" t="n"/>
      <c r="G22" s="5" t="n"/>
      <c r="H22" s="5" t="n"/>
      <c r="I22" s="5" t="n"/>
      <c r="J22" s="5" t="n"/>
      <c r="K22" s="5" t="n"/>
      <c r="L22" s="5" t="n"/>
      <c r="M22" s="5" t="n"/>
      <c r="N22" s="5">
        <f>IF(M22="","",IF(M22&lt;TODAY(),"Overdue","On track"))</f>
        <v/>
      </c>
      <c r="O22" s="5" t="n"/>
    </row>
    <row r="23">
      <c r="A23" s="5" t="n"/>
      <c r="B23" s="5" t="n"/>
      <c r="C23" s="5" t="n"/>
      <c r="D23" s="5" t="n"/>
      <c r="E23" s="5" t="n"/>
      <c r="F23" s="5" t="n"/>
      <c r="G23" s="5" t="n"/>
      <c r="H23" s="5" t="n"/>
      <c r="I23" s="5" t="n"/>
      <c r="J23" s="5" t="n"/>
      <c r="K23" s="5" t="n"/>
      <c r="L23" s="5" t="n"/>
      <c r="M23" s="5" t="n"/>
      <c r="N23" s="5">
        <f>IF(M23="","",IF(M23&lt;TODAY(),"Overdue","On track"))</f>
        <v/>
      </c>
      <c r="O23" s="5" t="n"/>
    </row>
    <row r="24">
      <c r="A24" s="5" t="n"/>
      <c r="B24" s="5" t="n"/>
      <c r="C24" s="5" t="n"/>
      <c r="D24" s="5" t="n"/>
      <c r="E24" s="5" t="n"/>
      <c r="F24" s="5" t="n"/>
      <c r="G24" s="5" t="n"/>
      <c r="H24" s="5" t="n"/>
      <c r="I24" s="5" t="n"/>
      <c r="J24" s="5" t="n"/>
      <c r="K24" s="5" t="n"/>
      <c r="L24" s="5" t="n"/>
      <c r="M24" s="5" t="n"/>
      <c r="N24" s="5">
        <f>IF(M24="","",IF(M24&lt;TODAY(),"Overdue","On track"))</f>
        <v/>
      </c>
      <c r="O24" s="5" t="n"/>
    </row>
    <row r="25">
      <c r="A25" s="5" t="n"/>
      <c r="B25" s="5" t="n"/>
      <c r="C25" s="5" t="n"/>
      <c r="D25" s="5" t="n"/>
      <c r="E25" s="5" t="n"/>
      <c r="F25" s="5" t="n"/>
      <c r="G25" s="5" t="n"/>
      <c r="H25" s="5" t="n"/>
      <c r="I25" s="5" t="n"/>
      <c r="J25" s="5" t="n"/>
      <c r="K25" s="5" t="n"/>
      <c r="L25" s="5" t="n"/>
      <c r="M25" s="5" t="n"/>
      <c r="N25" s="5">
        <f>IF(M25="","",IF(M25&lt;TODAY(),"Overdue","On track"))</f>
        <v/>
      </c>
      <c r="O25" s="5" t="n"/>
    </row>
    <row r="26">
      <c r="A26" s="5" t="n"/>
      <c r="B26" s="5" t="n"/>
      <c r="C26" s="5" t="n"/>
      <c r="D26" s="5" t="n"/>
      <c r="E26" s="5" t="n"/>
      <c r="F26" s="5" t="n"/>
      <c r="G26" s="5" t="n"/>
      <c r="H26" s="5" t="n"/>
      <c r="I26" s="5" t="n"/>
      <c r="J26" s="5" t="n"/>
      <c r="K26" s="5" t="n"/>
      <c r="L26" s="5" t="n"/>
      <c r="M26" s="5" t="n"/>
      <c r="N26" s="5">
        <f>IF(M26="","",IF(M26&lt;TODAY(),"Overdue","On track"))</f>
        <v/>
      </c>
      <c r="O26" s="5" t="n"/>
    </row>
    <row r="27">
      <c r="A27" s="5" t="n"/>
      <c r="B27" s="5" t="n"/>
      <c r="C27" s="5" t="n"/>
      <c r="D27" s="5" t="n"/>
      <c r="E27" s="5" t="n"/>
      <c r="F27" s="5" t="n"/>
      <c r="G27" s="5" t="n"/>
      <c r="H27" s="5" t="n"/>
      <c r="I27" s="5" t="n"/>
      <c r="J27" s="5" t="n"/>
      <c r="K27" s="5" t="n"/>
      <c r="L27" s="5" t="n"/>
      <c r="M27" s="5" t="n"/>
      <c r="N27" s="5">
        <f>IF(M27="","",IF(M27&lt;TODAY(),"Overdue","On track"))</f>
        <v/>
      </c>
      <c r="O27" s="5" t="n"/>
    </row>
    <row r="28">
      <c r="A28" s="5" t="n"/>
      <c r="B28" s="5" t="n"/>
      <c r="C28" s="5" t="n"/>
      <c r="D28" s="5" t="n"/>
      <c r="E28" s="5" t="n"/>
      <c r="F28" s="5" t="n"/>
      <c r="G28" s="5" t="n"/>
      <c r="H28" s="5" t="n"/>
      <c r="I28" s="5" t="n"/>
      <c r="J28" s="5" t="n"/>
      <c r="K28" s="5" t="n"/>
      <c r="L28" s="5" t="n"/>
      <c r="M28" s="5" t="n"/>
      <c r="N28" s="5">
        <f>IF(M28="","",IF(M28&lt;TODAY(),"Overdue","On track"))</f>
        <v/>
      </c>
      <c r="O28" s="5" t="n"/>
    </row>
    <row r="29">
      <c r="A29" s="5" t="n"/>
      <c r="B29" s="5" t="n"/>
      <c r="C29" s="5" t="n"/>
      <c r="D29" s="5" t="n"/>
      <c r="E29" s="5" t="n"/>
      <c r="F29" s="5" t="n"/>
      <c r="G29" s="5" t="n"/>
      <c r="H29" s="5" t="n"/>
      <c r="I29" s="5" t="n"/>
      <c r="J29" s="5" t="n"/>
      <c r="K29" s="5" t="n"/>
      <c r="L29" s="5" t="n"/>
      <c r="M29" s="5" t="n"/>
      <c r="N29" s="5">
        <f>IF(M29="","",IF(M29&lt;TODAY(),"Overdue","On track"))</f>
        <v/>
      </c>
      <c r="O29" s="5" t="n"/>
    </row>
    <row r="30">
      <c r="A30" s="5" t="n"/>
      <c r="B30" s="5" t="n"/>
      <c r="C30" s="5" t="n"/>
      <c r="D30" s="5" t="n"/>
      <c r="E30" s="5" t="n"/>
      <c r="F30" s="5" t="n"/>
      <c r="G30" s="5" t="n"/>
      <c r="H30" s="5" t="n"/>
      <c r="I30" s="5" t="n"/>
      <c r="J30" s="5" t="n"/>
      <c r="K30" s="5" t="n"/>
      <c r="L30" s="5" t="n"/>
      <c r="M30" s="5" t="n"/>
      <c r="N30" s="5">
        <f>IF(M30="","",IF(M30&lt;TODAY(),"Overdue","On track"))</f>
        <v/>
      </c>
      <c r="O30" s="5" t="n"/>
    </row>
    <row r="31">
      <c r="A31" s="5" t="n"/>
      <c r="B31" s="5" t="n"/>
      <c r="C31" s="5" t="n"/>
      <c r="D31" s="5" t="n"/>
      <c r="E31" s="5" t="n"/>
      <c r="F31" s="5" t="n"/>
      <c r="G31" s="5" t="n"/>
      <c r="H31" s="5" t="n"/>
      <c r="I31" s="5" t="n"/>
      <c r="J31" s="5" t="n"/>
      <c r="K31" s="5" t="n"/>
      <c r="L31" s="5" t="n"/>
      <c r="M31" s="5" t="n"/>
      <c r="N31" s="5">
        <f>IF(M31="","",IF(M31&lt;TODAY(),"Overdue","On track"))</f>
        <v/>
      </c>
      <c r="O31" s="5" t="n"/>
    </row>
    <row r="32">
      <c r="A32" s="5" t="n"/>
      <c r="B32" s="5" t="n"/>
      <c r="C32" s="5" t="n"/>
      <c r="D32" s="5" t="n"/>
      <c r="E32" s="5" t="n"/>
      <c r="F32" s="5" t="n"/>
      <c r="G32" s="5" t="n"/>
      <c r="H32" s="5" t="n"/>
      <c r="I32" s="5" t="n"/>
      <c r="J32" s="5" t="n"/>
      <c r="K32" s="5" t="n"/>
      <c r="L32" s="5" t="n"/>
      <c r="M32" s="5" t="n"/>
      <c r="N32" s="5">
        <f>IF(M32="","",IF(M32&lt;TODAY(),"Overdue","On track"))</f>
        <v/>
      </c>
      <c r="O32" s="5" t="n"/>
    </row>
    <row r="33">
      <c r="A33" s="5" t="n"/>
      <c r="B33" s="5" t="n"/>
      <c r="C33" s="5" t="n"/>
      <c r="D33" s="5" t="n"/>
      <c r="E33" s="5" t="n"/>
      <c r="F33" s="5" t="n"/>
      <c r="G33" s="5" t="n"/>
      <c r="H33" s="5" t="n"/>
      <c r="I33" s="5" t="n"/>
      <c r="J33" s="5" t="n"/>
      <c r="K33" s="5" t="n"/>
      <c r="L33" s="5" t="n"/>
      <c r="M33" s="5" t="n"/>
      <c r="N33" s="5">
        <f>IF(M33="","",IF(M33&lt;TODAY(),"Overdue","On track"))</f>
        <v/>
      </c>
      <c r="O33" s="5" t="n"/>
    </row>
    <row r="34">
      <c r="A34" s="5" t="n"/>
      <c r="B34" s="5" t="n"/>
      <c r="C34" s="5" t="n"/>
      <c r="D34" s="5" t="n"/>
      <c r="E34" s="5" t="n"/>
      <c r="F34" s="5" t="n"/>
      <c r="G34" s="5" t="n"/>
      <c r="H34" s="5" t="n"/>
      <c r="I34" s="5" t="n"/>
      <c r="J34" s="5" t="n"/>
      <c r="K34" s="5" t="n"/>
      <c r="L34" s="5" t="n"/>
      <c r="M34" s="5" t="n"/>
      <c r="N34" s="5">
        <f>IF(M34="","",IF(M34&lt;TODAY(),"Overdue","On track"))</f>
        <v/>
      </c>
      <c r="O34" s="5" t="n"/>
    </row>
    <row r="35">
      <c r="A35" s="5" t="n"/>
      <c r="B35" s="5" t="n"/>
      <c r="C35" s="5" t="n"/>
      <c r="D35" s="5" t="n"/>
      <c r="E35" s="5" t="n"/>
      <c r="F35" s="5" t="n"/>
      <c r="G35" s="5" t="n"/>
      <c r="H35" s="5" t="n"/>
      <c r="I35" s="5" t="n"/>
      <c r="J35" s="5" t="n"/>
      <c r="K35" s="5" t="n"/>
      <c r="L35" s="5" t="n"/>
      <c r="M35" s="5" t="n"/>
      <c r="N35" s="5">
        <f>IF(M35="","",IF(M35&lt;TODAY(),"Overdue","On track"))</f>
        <v/>
      </c>
      <c r="O35" s="5" t="n"/>
    </row>
    <row r="36">
      <c r="A36" s="5" t="n"/>
      <c r="B36" s="5" t="n"/>
      <c r="C36" s="5" t="n"/>
      <c r="D36" s="5" t="n"/>
      <c r="E36" s="5" t="n"/>
      <c r="F36" s="5" t="n"/>
      <c r="G36" s="5" t="n"/>
      <c r="H36" s="5" t="n"/>
      <c r="I36" s="5" t="n"/>
      <c r="J36" s="5" t="n"/>
      <c r="K36" s="5" t="n"/>
      <c r="L36" s="5" t="n"/>
      <c r="M36" s="5" t="n"/>
      <c r="N36" s="5">
        <f>IF(M36="","",IF(M36&lt;TODAY(),"Overdue","On track"))</f>
        <v/>
      </c>
      <c r="O36" s="5" t="n"/>
    </row>
    <row r="37">
      <c r="A37" s="5" t="n"/>
      <c r="B37" s="5" t="n"/>
      <c r="C37" s="5" t="n"/>
      <c r="D37" s="5" t="n"/>
      <c r="E37" s="5" t="n"/>
      <c r="F37" s="5" t="n"/>
      <c r="G37" s="5" t="n"/>
      <c r="H37" s="5" t="n"/>
      <c r="I37" s="5" t="n"/>
      <c r="J37" s="5" t="n"/>
      <c r="K37" s="5" t="n"/>
      <c r="L37" s="5" t="n"/>
      <c r="M37" s="5" t="n"/>
      <c r="N37" s="5">
        <f>IF(M37="","",IF(M37&lt;TODAY(),"Overdue","On track"))</f>
        <v/>
      </c>
      <c r="O37" s="5" t="n"/>
    </row>
    <row r="38">
      <c r="A38" s="5" t="n"/>
      <c r="B38" s="5" t="n"/>
      <c r="C38" s="5" t="n"/>
      <c r="D38" s="5" t="n"/>
      <c r="E38" s="5" t="n"/>
      <c r="F38" s="5" t="n"/>
      <c r="G38" s="5" t="n"/>
      <c r="H38" s="5" t="n"/>
      <c r="I38" s="5" t="n"/>
      <c r="J38" s="5" t="n"/>
      <c r="K38" s="5" t="n"/>
      <c r="L38" s="5" t="n"/>
      <c r="M38" s="5" t="n"/>
      <c r="N38" s="5">
        <f>IF(M38="","",IF(M38&lt;TODAY(),"Overdue","On track"))</f>
        <v/>
      </c>
      <c r="O38" s="5" t="n"/>
    </row>
    <row r="39">
      <c r="A39" s="5" t="n"/>
      <c r="B39" s="5" t="n"/>
      <c r="C39" s="5" t="n"/>
      <c r="D39" s="5" t="n"/>
      <c r="E39" s="5" t="n"/>
      <c r="F39" s="5" t="n"/>
      <c r="G39" s="5" t="n"/>
      <c r="H39" s="5" t="n"/>
      <c r="I39" s="5" t="n"/>
      <c r="J39" s="5" t="n"/>
      <c r="K39" s="5" t="n"/>
      <c r="L39" s="5" t="n"/>
      <c r="M39" s="5" t="n"/>
      <c r="N39" s="5">
        <f>IF(M39="","",IF(M39&lt;TODAY(),"Overdue","On track"))</f>
        <v/>
      </c>
      <c r="O39" s="5" t="n"/>
    </row>
    <row r="40">
      <c r="A40" s="5" t="n"/>
      <c r="B40" s="5" t="n"/>
      <c r="C40" s="5" t="n"/>
      <c r="D40" s="5" t="n"/>
      <c r="E40" s="5" t="n"/>
      <c r="F40" s="5" t="n"/>
      <c r="G40" s="5" t="n"/>
      <c r="H40" s="5" t="n"/>
      <c r="I40" s="5" t="n"/>
      <c r="J40" s="5" t="n"/>
      <c r="K40" s="5" t="n"/>
      <c r="L40" s="5" t="n"/>
      <c r="M40" s="5" t="n"/>
      <c r="N40" s="5">
        <f>IF(M40="","",IF(M40&lt;TODAY(),"Overdue","On track"))</f>
        <v/>
      </c>
      <c r="O40" s="5" t="n"/>
    </row>
    <row r="41">
      <c r="A41" s="5" t="n"/>
      <c r="B41" s="5" t="n"/>
      <c r="C41" s="5" t="n"/>
      <c r="D41" s="5" t="n"/>
      <c r="E41" s="5" t="n"/>
      <c r="F41" s="5" t="n"/>
      <c r="G41" s="5" t="n"/>
      <c r="H41" s="5" t="n"/>
      <c r="I41" s="5" t="n"/>
      <c r="J41" s="5" t="n"/>
      <c r="K41" s="5" t="n"/>
      <c r="L41" s="5" t="n"/>
      <c r="M41" s="5" t="n"/>
      <c r="N41" s="5">
        <f>IF(M41="","",IF(M41&lt;TODAY(),"Overdue","On track"))</f>
        <v/>
      </c>
      <c r="O41" s="5" t="n"/>
    </row>
    <row r="42">
      <c r="A42" s="5" t="n"/>
      <c r="B42" s="5" t="n"/>
      <c r="C42" s="5" t="n"/>
      <c r="D42" s="5" t="n"/>
      <c r="E42" s="5" t="n"/>
      <c r="F42" s="5" t="n"/>
      <c r="G42" s="5" t="n"/>
      <c r="H42" s="5" t="n"/>
      <c r="I42" s="5" t="n"/>
      <c r="J42" s="5" t="n"/>
      <c r="K42" s="5" t="n"/>
      <c r="L42" s="5" t="n"/>
      <c r="M42" s="5" t="n"/>
      <c r="N42" s="5">
        <f>IF(M42="","",IF(M42&lt;TODAY(),"Overdue","On track"))</f>
        <v/>
      </c>
      <c r="O42" s="5" t="n"/>
    </row>
  </sheetData>
  <autoFilter ref="A4:O42"/>
  <mergeCells count="1">
    <mergeCell ref="A2:O2"/>
  </mergeCells>
  <conditionalFormatting sqref="N5:N42">
    <cfRule type="cellIs" priority="1" operator="equal" dxfId="0">
      <formula>"Implemented"</formula>
    </cfRule>
    <cfRule type="cellIs" priority="2" operator="equal" dxfId="0">
      <formula>"Done"</formula>
    </cfRule>
    <cfRule type="cellIs" priority="3" operator="equal" dxfId="0">
      <formula>"Closed"</formula>
    </cfRule>
    <cfRule type="cellIs" priority="4" operator="equal" dxfId="0">
      <formula>"Yes"</formula>
    </cfRule>
    <cfRule type="cellIs" priority="5" operator="equal" dxfId="0">
      <formula>"Met"</formula>
    </cfRule>
    <cfRule type="cellIs" priority="6" operator="equal" dxfId="1">
      <formula>"Partially implemented"</formula>
    </cfRule>
    <cfRule type="cellIs" priority="7" operator="equal" dxfId="1">
      <formula>"Partial"</formula>
    </cfRule>
    <cfRule type="cellIs" priority="8" operator="equal" dxfId="1">
      <formula>"Done late"</formula>
    </cfRule>
    <cfRule type="cellIs" priority="9" operator="equal" dxfId="1">
      <formula>"In progress"</formula>
    </cfRule>
    <cfRule type="cellIs" priority="10" operator="equal" dxfId="1">
      <formula>"Open"</formula>
    </cfRule>
    <cfRule type="cellIs" priority="11" operator="equal" dxfId="1">
      <formula>"On track"</formula>
    </cfRule>
    <cfRule type="cellIs" priority="12" operator="equal" dxfId="4">
      <formula>"Planned"</formula>
    </cfRule>
    <cfRule type="cellIs" priority="13" operator="equal" dxfId="5">
      <formula>"Not started"</formula>
    </cfRule>
    <cfRule type="cellIs" priority="14" operator="equal" dxfId="2">
      <formula>"Not implemented"</formula>
    </cfRule>
    <cfRule type="cellIs" priority="15" operator="equal" dxfId="2">
      <formula>"No"</formula>
    </cfRule>
    <cfRule type="cellIs" priority="16" operator="equal" dxfId="2">
      <formula>"Overdue"</formula>
    </cfRule>
    <cfRule type="cellIs" priority="17" operator="equal" dxfId="2">
      <formula>"Not met"</formula>
    </cfRule>
    <cfRule type="cellIs" priority="18" operator="equal" dxfId="6">
      <formula>"Excluded"</formula>
    </cfRule>
  </conditionalFormatting>
  <conditionalFormatting sqref="O5:O42">
    <cfRule type="cellIs" priority="19" operator="equal" dxfId="0">
      <formula>"Implemented"</formula>
    </cfRule>
    <cfRule type="cellIs" priority="20" operator="equal" dxfId="0">
      <formula>"Done"</formula>
    </cfRule>
    <cfRule type="cellIs" priority="21" operator="equal" dxfId="0">
      <formula>"Closed"</formula>
    </cfRule>
    <cfRule type="cellIs" priority="22" operator="equal" dxfId="0">
      <formula>"Yes"</formula>
    </cfRule>
    <cfRule type="cellIs" priority="23" operator="equal" dxfId="0">
      <formula>"Met"</formula>
    </cfRule>
    <cfRule type="cellIs" priority="24" operator="equal" dxfId="1">
      <formula>"Partially implemented"</formula>
    </cfRule>
    <cfRule type="cellIs" priority="25" operator="equal" dxfId="1">
      <formula>"Partial"</formula>
    </cfRule>
    <cfRule type="cellIs" priority="26" operator="equal" dxfId="1">
      <formula>"Done late"</formula>
    </cfRule>
    <cfRule type="cellIs" priority="27" operator="equal" dxfId="1">
      <formula>"In progress"</formula>
    </cfRule>
    <cfRule type="cellIs" priority="28" operator="equal" dxfId="1">
      <formula>"Open"</formula>
    </cfRule>
    <cfRule type="cellIs" priority="29" operator="equal" dxfId="1">
      <formula>"On track"</formula>
    </cfRule>
    <cfRule type="cellIs" priority="30" operator="equal" dxfId="4">
      <formula>"Planned"</formula>
    </cfRule>
    <cfRule type="cellIs" priority="31" operator="equal" dxfId="5">
      <formula>"Not started"</formula>
    </cfRule>
    <cfRule type="cellIs" priority="32" operator="equal" dxfId="2">
      <formula>"Not implemented"</formula>
    </cfRule>
    <cfRule type="cellIs" priority="33" operator="equal" dxfId="2">
      <formula>"No"</formula>
    </cfRule>
    <cfRule type="cellIs" priority="34" operator="equal" dxfId="2">
      <formula>"Overdue"</formula>
    </cfRule>
    <cfRule type="cellIs" priority="35" operator="equal" dxfId="2">
      <formula>"Not met"</formula>
    </cfRule>
    <cfRule type="cellIs" priority="36" operator="equal" dxfId="6">
      <formula>"Excluded"</formula>
    </cfRule>
  </conditionalFormatting>
  <dataValidations count="2">
    <dataValidation sqref="D5:D42" showDropDown="0" showInputMessage="0" showErrorMessage="0" allowBlank="1" errorTitle="Invalid value" error="Pick a value from the list." type="list">
      <formula1>"Tier 1 — Critical,Tier 2 — Important,Tier 3 — Low"</formula1>
    </dataValidation>
    <dataValidation sqref="O5:O42" showDropDown="0" showInputMessage="0" showErrorMessage="0" allowBlank="1" errorTitle="Invalid value" error="Pick a value from the list." type="list">
      <formula1>"Implemented,In progress,Planned,Not implemented"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Prof. Dr. Mohamed Fawzi Elgendi (Fawzooz)</dc:creator>
  <dc:title xmlns:dc="http://purl.org/dc/elements/1.1/">Asset and AI System Inventory</dc:title>
  <dcterms:created xmlns:dcterms="http://purl.org/dc/terms/" xmlns:xsi="http://www.w3.org/2001/XMLSchema-instance" xsi:type="dcterms:W3CDTF">2026-10-04T18:41:16Z</dcterms:created>
  <dcterms:modified xmlns:dcterms="http://purl.org/dc/terms/" xmlns:xsi="http://www.w3.org/2001/XMLSchema-instance" xsi:type="dcterms:W3CDTF">2026-10-04T18:41:16Z</dcterms:modified>
  <cp:lastModifiedBy>Prof. Dr. Mohamed Fawzi Elgendi (Fawzooz)</cp:lastModifiedBy>
</cp:coreProperties>
</file>