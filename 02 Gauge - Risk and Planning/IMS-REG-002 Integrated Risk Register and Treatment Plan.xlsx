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Treatment Plan" sheetId="3" state="visible" r:id="rId3"/>
    <sheet xmlns:r="http://schemas.openxmlformats.org/officeDocument/2006/relationships" name="Scales" sheetId="4" state="visible" r:id="rId4"/>
    <sheet xmlns:r="http://schemas.openxmlformats.org/officeDocument/2006/relationships" name="Heat map" sheetId="5" state="visible" r:id="rId5"/>
  </sheets>
  <definedNames>
    <definedName name="_xlnm._FilterDatabase" localSheetId="1" hidden="1">'Risk Register'!$A$4:$V$54</definedName>
    <definedName name="_xlnm.Print_Titles" localSheetId="1">'Risk Register'!$4:$4</definedName>
    <definedName name="_xlnm._FilterDatabase" localSheetId="2" hidden="1">'Treatment Plan'!$A$4:$I$51</definedName>
    <definedName name="_xlnm.Print_Titles" localSheetId="2">'Treatment Plan'!$4:$4</definedName>
    <definedName name="_xlnm._FilterDatabase" localSheetId="3" hidden="1">'Scales'!$A$4:$D$26</definedName>
    <definedName name="_xlnm.Print_Titles" localSheetId="3">'Scales'!$4:$4</definedName>
    <definedName name="_xlnm._FilterDatabase" localSheetId="4" hidden="1">'Heat map'!$A$4:$G$24</definedName>
    <definedName name="_xlnm.Print_Titles" localSheetId="4">'Heat map'!$4:$4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0F766E"/>
      <sz val="10"/>
    </font>
    <font>
      <b val="1"/>
      <color rgb="00142B4C"/>
      <sz val="18"/>
    </font>
    <font>
      <b val="1"/>
    </font>
    <font>
      <b val="1"/>
      <color rgb="00142B4C"/>
      <sz val="12"/>
    </font>
    <font>
      <b val="1"/>
      <color rgb="00142B4C"/>
      <sz val="14"/>
    </font>
    <font>
      <b val="1"/>
      <color rgb="00FFFFFF"/>
    </font>
    <font>
      <b val="1"/>
      <color rgb="00142B4C"/>
    </font>
  </fonts>
  <fills count="6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42B4C"/>
      </patternFill>
    </fill>
    <fill>
      <patternFill patternType="solid">
        <fgColor rgb="00FFF2C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7C80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TWYNTRUST FRAMEWORK · Quillfen Studio</t>
        </is>
      </c>
    </row>
    <row r="2">
      <c r="A2" s="2" t="inlineStr">
        <is>
          <t>Integrated Risk Register and Treatment Plan</t>
        </is>
      </c>
    </row>
    <row r="3" ht="48" customHeight="1">
      <c r="A3" s="3" t="inlineStr">
        <is>
          <t>Quillfen Studio's single register for information-security and AI risks, with the treatment plan, the scales and a live heat map. Built with the method in IMS-PRO-001.</t>
        </is>
      </c>
    </row>
    <row r="5">
      <c r="A5" s="4" t="inlineStr">
        <is>
          <t>Document ID</t>
        </is>
      </c>
      <c r="B5" s="5" t="inlineStr">
        <is>
          <t>IMS-REG-002</t>
        </is>
      </c>
    </row>
    <row r="6">
      <c r="A6" s="4" t="inlineStr">
        <is>
          <t>Version</t>
        </is>
      </c>
      <c r="B6" s="5" t="inlineStr">
        <is>
          <t>2.0</t>
        </is>
      </c>
    </row>
    <row r="7">
      <c r="A7" s="4" t="inlineStr">
        <is>
          <t>Prepared by</t>
        </is>
      </c>
      <c r="B7" s="5" t="inlineStr">
        <is>
          <t>Prof. Dr. Mohamed Fawzi Elgendi (Fawzooz), Fawzooz.ai</t>
        </is>
      </c>
    </row>
    <row r="8">
      <c r="A8" s="4" t="inlineStr">
        <is>
          <t>License</t>
        </is>
      </c>
      <c r="B8" s="5" t="inlineStr">
        <is>
          <t>CC BY 4.0 — free to share and adapt, including commercially, with credit to Prof. Dr. Mohamed Fawzi Elgendi (Fawzooz), Fawzooz.ai · creativecommons.org/licenses/by/4.0</t>
        </is>
      </c>
    </row>
    <row r="9">
      <c r="A9" s="4" t="inlineStr">
        <is>
          <t>Classification</t>
        </is>
      </c>
      <c r="B9" s="5" t="inlineStr">
        <is>
          <t>Internal</t>
        </is>
      </c>
    </row>
    <row r="10">
      <c r="A10" s="4" t="inlineStr">
        <is>
          <t>Owner</t>
        </is>
      </c>
      <c r="B10" s="5" t="inlineStr">
        <is>
          <t>[Security Lead]</t>
        </is>
      </c>
    </row>
    <row r="11">
      <c r="A11" s="4" t="inlineStr">
        <is>
          <t>Approved by</t>
        </is>
      </c>
      <c r="B11" s="5" t="inlineStr">
        <is>
          <t>[CEO] (Trust Council)</t>
        </is>
      </c>
    </row>
    <row r="12">
      <c r="A12" s="4" t="inlineStr">
        <is>
          <t>Effective date</t>
        </is>
      </c>
      <c r="B12" s="5" t="inlineStr">
        <is>
          <t>2026-11-01</t>
        </is>
      </c>
    </row>
    <row r="13">
      <c r="A13" s="4" t="inlineStr">
        <is>
          <t>Kit folder</t>
        </is>
      </c>
      <c r="B13" s="5" t="inlineStr">
        <is>
          <t>02 Gauge - Risk and Planning</t>
        </is>
      </c>
    </row>
    <row r="14">
      <c r="A14" s="4" t="inlineStr">
        <is>
          <t>ISO/IEC 27001:2022</t>
        </is>
      </c>
      <c r="B14" s="5" t="inlineStr">
        <is>
          <t>6.1.2, 6.1.3, 8.2, 8.3; Annex A referenced per risk</t>
        </is>
      </c>
    </row>
    <row r="15">
      <c r="A15" s="4" t="inlineStr">
        <is>
          <t>ISO/IEC 42001:2023</t>
        </is>
      </c>
      <c r="B15" s="5" t="inlineStr">
        <is>
          <t>6.1.2, 6.1.3, 8.2, 8.3; Annex A referenced per risk; inputs from 6.1.4 / 8.4</t>
        </is>
      </c>
    </row>
    <row r="17">
      <c r="A17" s="6" t="inlineStr">
        <is>
          <t>How to use this workbook</t>
        </is>
      </c>
    </row>
    <row r="18" ht="30" customHeight="1">
      <c r="A18" t="inlineStr">
        <is>
          <t>•</t>
        </is>
      </c>
      <c r="B18" s="3" t="inlineStr">
        <is>
          <t>This is a SAMPLE filled in for the example company Quillfen Studio. Keep the structure, replace the example rows with your own.</t>
        </is>
      </c>
    </row>
    <row r="19" ht="15" customHeight="1">
      <c r="A19" t="inlineStr">
        <is>
          <t>•</t>
        </is>
      </c>
      <c r="B19" s="3" t="inlineStr">
        <is>
          <t>Yellow cells are fill-in fields. Drop-down cells only accept the listed values.</t>
        </is>
      </c>
    </row>
    <row r="20" ht="30" customHeight="1">
      <c r="A20" t="inlineStr">
        <is>
          <t>•</t>
        </is>
      </c>
      <c r="B20" s="3" t="inlineStr">
        <is>
          <t>Cells with formulas (scores, levels, due status) calculate automatically — do not type over them.</t>
        </is>
      </c>
    </row>
    <row r="21" ht="15" customHeight="1">
      <c r="A21" t="inlineStr">
        <is>
          <t>•</t>
        </is>
      </c>
      <c r="B21" s="3" t="inlineStr">
        <is>
          <t>Enter likelihood and impact as numbers 1–5. Score and level columns calculate themselves.</t>
        </is>
      </c>
    </row>
    <row r="22" ht="30" customHeight="1">
      <c r="A22" t="inlineStr">
        <is>
          <t>•</t>
        </is>
      </c>
      <c r="B22" s="3" t="inlineStr">
        <is>
          <t>Every risk needs one named owner. Residual High risks need Trust Council acceptance (see IMS-PRO-001 section 9).</t>
        </is>
      </c>
    </row>
    <row r="23" ht="30" customHeight="1">
      <c r="A23" t="inlineStr">
        <is>
          <t>•</t>
        </is>
      </c>
      <c r="B23" s="3" t="inlineStr">
        <is>
          <t>Write Annex A references in both control columns when a risk needs controls from both standards — then copy them into the two Statements of Applicability (IMS-SOA-001, IMS-SOA-002).</t>
        </is>
      </c>
    </row>
    <row r="24" ht="15" customHeight="1">
      <c r="A24" t="inlineStr">
        <is>
          <t>•</t>
        </is>
      </c>
      <c r="B24" s="3" t="inlineStr">
        <is>
          <t>Save a dated copy every quarter so auditors can see how risks changed over time.</t>
        </is>
      </c>
    </row>
    <row r="26">
      <c r="A26" s="6" t="inlineStr">
        <is>
          <t>Sheets</t>
        </is>
      </c>
    </row>
    <row r="27" ht="45" customHeight="1">
      <c r="A27" s="7" t="inlineStr">
        <is>
          <t>Risk Register</t>
        </is>
      </c>
      <c r="B27" s="3" t="inlineStr">
        <is>
          <t>One row per risk. Scales are on the 'Scales' sheet; method in IMS-PRO-001 Risk Management Methodology (Information Security and AI). IS = information-security risk, AI = AI risk. Inherent = with today's controls; residual = after planned controls work.</t>
        </is>
      </c>
    </row>
    <row r="28" ht="30" customHeight="1">
      <c r="A28" s="7" t="inlineStr">
        <is>
          <t>Treatment Plan</t>
        </is>
      </c>
      <c r="B28" s="3" t="inlineStr">
        <is>
          <t>Actions that put the planned controls in place. Each action belongs to a risk. 'Due status' calculates itself from the due date and status.</t>
        </is>
      </c>
    </row>
    <row r="29" ht="45" customHeight="1">
      <c r="A29" s="7" t="inlineStr">
        <is>
          <t>Scales</t>
        </is>
      </c>
      <c r="B29" s="3" t="inlineStr">
        <is>
          <t>The same scales are used in IMS-PRO-001 Risk Management Methodology (Information Security and AI) and IMS-PRO-002 AI System Impact Assessment Procedure and Worked Example. Change them only by Trust Council decision, and everywhere at once.</t>
        </is>
      </c>
    </row>
    <row r="30" ht="30" customHeight="1">
      <c r="A30" s="7" t="inlineStr">
        <is>
          <t>Heat map</t>
        </is>
      </c>
      <c r="B30" s="3" t="inlineStr">
        <is>
          <t>Counts of risks per likelihood × impact cell, calculated from the Risk Register with COUNTIFS. Compare the inherent and residual grids to show the effect of treatment.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54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6" customWidth="1" min="3" max="3"/>
    <col width="34" customWidth="1" min="4" max="4"/>
    <col width="34" customWidth="1" min="5" max="5"/>
    <col width="26" customWidth="1" min="6" max="6"/>
    <col width="22" customWidth="1" min="7" max="7"/>
    <col width="8" customWidth="1" min="8" max="8"/>
    <col width="8" customWidth="1" min="9" max="9"/>
    <col width="8" customWidth="1" min="10" max="10"/>
    <col width="10" customWidth="1" min="11" max="11"/>
    <col width="30" customWidth="1" min="12" max="12"/>
    <col width="11" customWidth="1" min="13" max="13"/>
    <col width="18" customWidth="1" min="14" max="14"/>
    <col width="20" customWidth="1" min="15" max="15"/>
    <col width="8" customWidth="1" min="16" max="16"/>
    <col width="8" customWidth="1" min="17" max="17"/>
    <col width="8" customWidth="1" min="18" max="18"/>
    <col width="10" customWidth="1" min="19" max="19"/>
    <col width="26" customWidth="1" min="20" max="20"/>
    <col width="12" customWidth="1" min="21" max="21"/>
    <col width="13" customWidth="1" min="22" max="22"/>
  </cols>
  <sheetData>
    <row r="1">
      <c r="A1" s="8" t="inlineStr">
        <is>
          <t>Integrated Risk Register (Information Security + AI)</t>
        </is>
      </c>
    </row>
    <row r="2" ht="30" customHeight="1">
      <c r="A2" s="3" t="inlineStr">
        <is>
          <t>One row per risk. Scales are on the 'Scales' sheet; method in IMS-PRO-001 Risk Management Methodology (Information Security and AI). IS = information-security risk, AI = AI risk. Inherent = with today's controls; residual = after planned controls work.</t>
        </is>
      </c>
    </row>
    <row r="4" ht="32" customHeight="1">
      <c r="A4" s="9" t="inlineStr">
        <is>
          <t>Risk ID</t>
        </is>
      </c>
      <c r="B4" s="9" t="inlineStr">
        <is>
          <t>Type</t>
        </is>
      </c>
      <c r="C4" s="9" t="inlineStr">
        <is>
          <t>Risk title</t>
        </is>
      </c>
      <c r="D4" s="9" t="inlineStr">
        <is>
          <t>Cause (threat / vulnerability / source)</t>
        </is>
      </c>
      <c r="E4" s="9" t="inlineStr">
        <is>
          <t>Consequence</t>
        </is>
      </c>
      <c r="F4" s="9" t="inlineStr">
        <is>
          <t>Affected system / asset</t>
        </is>
      </c>
      <c r="G4" s="9" t="inlineStr">
        <is>
          <t>Risk owner</t>
        </is>
      </c>
      <c r="H4" s="9" t="inlineStr">
        <is>
          <t>Inherent L</t>
        </is>
      </c>
      <c r="I4" s="9" t="inlineStr">
        <is>
          <t>Inherent I</t>
        </is>
      </c>
      <c r="J4" s="9" t="inlineStr">
        <is>
          <t>Inherent score</t>
        </is>
      </c>
      <c r="K4" s="9" t="inlineStr">
        <is>
          <t>Inherent level</t>
        </is>
      </c>
      <c r="L4" s="9" t="inlineStr">
        <is>
          <t>Existing controls</t>
        </is>
      </c>
      <c r="M4" s="9" t="inlineStr">
        <is>
          <t>Treatment option</t>
        </is>
      </c>
      <c r="N4" s="9" t="inlineStr">
        <is>
          <t>Planned controls — 27001 Annex A</t>
        </is>
      </c>
      <c r="O4" s="9" t="inlineStr">
        <is>
          <t>Planned controls — 42001 Annex A</t>
        </is>
      </c>
      <c r="P4" s="9" t="inlineStr">
        <is>
          <t>Residual L</t>
        </is>
      </c>
      <c r="Q4" s="9" t="inlineStr">
        <is>
          <t>Residual I</t>
        </is>
      </c>
      <c r="R4" s="9" t="inlineStr">
        <is>
          <t>Residual score</t>
        </is>
      </c>
      <c r="S4" s="9" t="inlineStr">
        <is>
          <t>Residual level</t>
        </is>
      </c>
      <c r="T4" s="9" t="inlineStr">
        <is>
          <t>Accepted by</t>
        </is>
      </c>
      <c r="U4" s="9" t="inlineStr">
        <is>
          <t>Next review</t>
        </is>
      </c>
      <c r="V4" s="9" t="inlineStr">
        <is>
          <t>Status</t>
        </is>
      </c>
    </row>
    <row r="5">
      <c r="A5" s="5" t="inlineStr">
        <is>
          <t>RSK-AI-001</t>
        </is>
      </c>
      <c r="B5" s="5" t="inlineStr">
        <is>
          <t>AI</t>
        </is>
      </c>
      <c r="C5" s="5" t="inlineStr">
        <is>
          <t>StoryFrame fine-tuning set contains artwork without valid consent or licence</t>
        </is>
      </c>
      <c r="D5" s="5" t="inlineStr">
        <is>
          <t>Bulk-licensed image packs and early commissions without a per-image consent record; artist opt-outs not propagated to the training set</t>
        </is>
      </c>
      <c r="E5" s="5" t="inlineStr">
        <is>
          <t>Copyright claims, artists' trust lost, model must be retrained; breach of Artist Agreement</t>
        </is>
      </c>
      <c r="F5" s="5" t="inlineStr">
        <is>
          <t>AI-SYS-001 StoryFrame</t>
        </is>
      </c>
      <c r="G5" s="5" t="inlineStr">
        <is>
          <t>[Data and ML Lead]</t>
        </is>
      </c>
      <c r="H5" s="5" t="n">
        <v>4</v>
      </c>
      <c r="I5" s="5" t="n">
        <v>4</v>
      </c>
      <c r="J5" s="5">
        <f>IF(OR(H5="",I5=""),"",H5*I5)</f>
        <v/>
      </c>
      <c r="K5" s="5">
        <f>IF(J5="","",IF(J5&gt;=16,"Critical",IF(J5&gt;=10,"High",IF(J5&gt;=5,"Medium","Low"))))</f>
        <v/>
      </c>
      <c r="L5" s="5" t="inlineStr">
        <is>
          <t>Licence checks on new packs; consent ledger for commissions since 2025</t>
        </is>
      </c>
      <c r="M5" s="5" t="inlineStr">
        <is>
          <t>Modify</t>
        </is>
      </c>
      <c r="N5" s="5" t="inlineStr">
        <is>
          <t>5.32</t>
        </is>
      </c>
      <c r="O5" s="5" t="inlineStr">
        <is>
          <t>A.7.3, A.7.5, A.4.3</t>
        </is>
      </c>
      <c r="P5" s="5" t="n">
        <v>2</v>
      </c>
      <c r="Q5" s="5" t="n">
        <v>4</v>
      </c>
      <c r="R5" s="5">
        <f>IF(OR(P5="",Q5=""),"",P5*Q5)</f>
        <v/>
      </c>
      <c r="S5" s="5">
        <f>IF(R5="","",IF(R5&gt;=16,"Critical",IF(R5&gt;=10,"High",IF(R5&gt;=5,"Medium","Low"))))</f>
        <v/>
      </c>
      <c r="T5" s="5" t="inlineStr">
        <is>
          <t>[Data and ML Lead] (risk owner)</t>
        </is>
      </c>
      <c r="U5" s="5" t="inlineStr">
        <is>
          <t>2027-01-15</t>
        </is>
      </c>
      <c r="V5" s="5" t="inlineStr">
        <is>
          <t>In progress</t>
        </is>
      </c>
    </row>
    <row r="6">
      <c r="A6" s="5" t="inlineStr">
        <is>
          <t>RSK-AI-002</t>
        </is>
      </c>
      <c r="B6" s="5" t="inlineStr">
        <is>
          <t>AI</t>
        </is>
      </c>
      <c r="C6" s="5" t="inlineStr">
        <is>
          <t>Prompt or filter bypass lets StoryFrame produce a deceptive deepfake of a real person</t>
        </is>
      </c>
      <c r="D6" s="5" t="inlineStr">
        <is>
          <t>Prompts naming real people or jailbreak phrasing get past the content filter</t>
        </is>
      </c>
      <c r="E6" s="5" t="inlineStr">
        <is>
          <t>Deceptive image harms a real person's reputation; EU AI Act deepfake duties breached; customer trust lost</t>
        </is>
      </c>
      <c r="F6" s="5" t="inlineStr">
        <is>
          <t>AI-SYS-001 StoryFrame</t>
        </is>
      </c>
      <c r="G6" s="5" t="inlineStr">
        <is>
          <t>[Head of AI]</t>
        </is>
      </c>
      <c r="H6" s="5" t="n">
        <v>3</v>
      </c>
      <c r="I6" s="5" t="n">
        <v>5</v>
      </c>
      <c r="J6" s="5">
        <f>IF(OR(H6="",I6=""),"",H6*I6)</f>
        <v/>
      </c>
      <c r="K6" s="5">
        <f>IF(J6="","",IF(J6&gt;=16,"Critical",IF(J6&gt;=10,"High",IF(J6&gt;=5,"Medium","Low"))))</f>
        <v/>
      </c>
      <c r="L6" s="5" t="inlineStr">
        <is>
          <t>SafeFrame screening; visible AI label; C2PA content credentials</t>
        </is>
      </c>
      <c r="M6" s="5" t="inlineStr">
        <is>
          <t>Modify</t>
        </is>
      </c>
      <c r="N6" s="5" t="inlineStr">
        <is>
          <t>8.16</t>
        </is>
      </c>
      <c r="O6" s="5" t="inlineStr">
        <is>
          <t>A.6.2.4, A.6.2.6, A.10.3</t>
        </is>
      </c>
      <c r="P6" s="5" t="n">
        <v>2</v>
      </c>
      <c r="Q6" s="5" t="n">
        <v>4</v>
      </c>
      <c r="R6" s="5">
        <f>IF(OR(P6="",Q6=""),"",P6*Q6)</f>
        <v/>
      </c>
      <c r="S6" s="5">
        <f>IF(R6="","",IF(R6&gt;=16,"Critical",IF(R6&gt;=10,"High",IF(R6&gt;=5,"Medium","Low"))))</f>
        <v/>
      </c>
      <c r="T6" s="5" t="inlineStr">
        <is>
          <t>[Head of AI] (reported to Trust Council)</t>
        </is>
      </c>
      <c r="U6" s="5" t="inlineStr">
        <is>
          <t>2027-03-31</t>
        </is>
      </c>
      <c r="V6" s="5" t="inlineStr">
        <is>
          <t>In progress</t>
        </is>
      </c>
    </row>
    <row r="7">
      <c r="A7" s="5" t="inlineStr">
        <is>
          <t>RSK-AI-003</t>
        </is>
      </c>
      <c r="B7" s="5" t="inlineStr">
        <is>
          <t>AI</t>
        </is>
      </c>
      <c r="C7" s="5" t="inlineStr">
        <is>
          <t>ArtistMatch ranking systematically under-exposes new or non-English-portfolio artists</t>
        </is>
      </c>
      <c r="D7" s="5" t="inlineStr">
        <is>
          <t>Ranking features weight rating history and English-language tags heavily</t>
        </is>
      </c>
      <c r="E7" s="5" t="inlineStr">
        <is>
          <t>New and non-English-portfolio artists get fewer commissions and less income; unfair outcome</t>
        </is>
      </c>
      <c r="F7" s="5" t="inlineStr">
        <is>
          <t>AI-SYS-003 ArtistMatch</t>
        </is>
      </c>
      <c r="G7" s="5" t="inlineStr">
        <is>
          <t>[Head of AI]</t>
        </is>
      </c>
      <c r="H7" s="5" t="n">
        <v>4</v>
      </c>
      <c r="I7" s="5" t="n">
        <v>3</v>
      </c>
      <c r="J7" s="5">
        <f>IF(OR(H7="",I7=""),"",H7*I7)</f>
        <v/>
      </c>
      <c r="K7" s="5">
        <f>IF(J7="","",IF(J7&gt;=16,"Critical",IF(J7&gt;=10,"High",IF(J7&gt;=5,"Medium","Low"))))</f>
        <v/>
      </c>
      <c r="L7" s="5" t="inlineStr">
        <is>
          <t>Manual monthly fairness review of exposure ratio</t>
        </is>
      </c>
      <c r="M7" s="5" t="inlineStr">
        <is>
          <t>Modify</t>
        </is>
      </c>
      <c r="N7" s="5" t="inlineStr">
        <is>
          <t>—</t>
        </is>
      </c>
      <c r="O7" s="5" t="inlineStr">
        <is>
          <t>A.5.2–A.5.4, A.6.2.4, A.8.2</t>
        </is>
      </c>
      <c r="P7" s="5" t="n">
        <v>2</v>
      </c>
      <c r="Q7" s="5" t="n">
        <v>3</v>
      </c>
      <c r="R7" s="5">
        <f>IF(OR(P7="",Q7=""),"",P7*Q7)</f>
        <v/>
      </c>
      <c r="S7" s="5">
        <f>IF(R7="","",IF(R7&gt;=16,"Critical",IF(R7&gt;=10,"High",IF(R7&gt;=5,"Medium","Low"))))</f>
        <v/>
      </c>
      <c r="T7" s="5" t="inlineStr">
        <is>
          <t>[Head of AI] (risk owner)</t>
        </is>
      </c>
      <c r="U7" s="5" t="inlineStr">
        <is>
          <t>2027-01-15</t>
        </is>
      </c>
      <c r="V7" s="5" t="inlineStr">
        <is>
          <t>In progress</t>
        </is>
      </c>
    </row>
    <row r="8">
      <c r="A8" s="5" t="inlineStr">
        <is>
          <t>RSK-AI-004</t>
        </is>
      </c>
      <c r="B8" s="5" t="inlineStr">
        <is>
          <t>AI</t>
        </is>
      </c>
      <c r="C8" s="5" t="inlineStr">
        <is>
          <t>ScriptMate hallucinates scenes or leaks one customer's script into another's session</t>
        </is>
      </c>
      <c r="D8" s="5" t="inlineStr">
        <is>
          <t>Model confabulates scenes; session context bug or shared cache mixes customers' scripts</t>
        </is>
      </c>
      <c r="E8" s="5" t="inlineStr">
        <is>
          <t>Wrong storyboards delivered; confidential unreleased script disclosed to another customer</t>
        </is>
      </c>
      <c r="F8" s="5" t="inlineStr">
        <is>
          <t>AI-SYS-002 ScriptMate</t>
        </is>
      </c>
      <c r="G8" s="5" t="inlineStr">
        <is>
          <t>[Head of AI]</t>
        </is>
      </c>
      <c r="H8" s="5" t="n">
        <v>3</v>
      </c>
      <c r="I8" s="5" t="n">
        <v>4</v>
      </c>
      <c r="J8" s="5">
        <f>IF(OR(H8="",I8=""),"",H8*I8)</f>
        <v/>
      </c>
      <c r="K8" s="5">
        <f>IF(J8="","",IF(J8&gt;=16,"Critical",IF(J8&gt;=10,"High",IF(J8&gt;=5,"Medium","Low"))))</f>
        <v/>
      </c>
      <c r="L8" s="5" t="inlineStr">
        <is>
          <t>Zero-retention API terms; per-tenant session isolation; user can edit scene list</t>
        </is>
      </c>
      <c r="M8" s="5" t="inlineStr">
        <is>
          <t>Modify</t>
        </is>
      </c>
      <c r="N8" s="5" t="inlineStr">
        <is>
          <t>8.11, 8.26</t>
        </is>
      </c>
      <c r="O8" s="5" t="inlineStr">
        <is>
          <t>A.6.2.4, A.9.3</t>
        </is>
      </c>
      <c r="P8" s="5" t="n">
        <v>1</v>
      </c>
      <c r="Q8" s="5" t="n">
        <v>4</v>
      </c>
      <c r="R8" s="5">
        <f>IF(OR(P8="",Q8=""),"",P8*Q8)</f>
        <v/>
      </c>
      <c r="S8" s="5">
        <f>IF(R8="","",IF(R8&gt;=16,"Critical",IF(R8&gt;=10,"High",IF(R8&gt;=5,"Medium","Low"))))</f>
        <v/>
      </c>
      <c r="T8" s="5" t="inlineStr">
        <is>
          <t>[Head of AI] (risk owner)</t>
        </is>
      </c>
      <c r="U8" s="5" t="inlineStr">
        <is>
          <t>2027-03-31</t>
        </is>
      </c>
      <c r="V8" s="5" t="inlineStr">
        <is>
          <t>Implemented</t>
        </is>
      </c>
    </row>
    <row r="9">
      <c r="A9" s="5" t="inlineStr">
        <is>
          <t>RSK-AI-005</t>
        </is>
      </c>
      <c r="B9" s="5" t="inlineStr">
        <is>
          <t>AI</t>
        </is>
      </c>
      <c r="C9" s="5" t="inlineStr">
        <is>
          <t>SafeFrame vendor model update silently lowers detection of prohibited content</t>
        </is>
      </c>
      <c r="D9" s="5" t="inlineStr">
        <is>
          <t>Vendor ships model updates without notice; we did not pin versions or re-test after changes</t>
        </is>
      </c>
      <c r="E9" s="5" t="inlineStr">
        <is>
          <t>Prohibited or deceptive content reaches customers; harm to depicted people; regulatory exposure</t>
        </is>
      </c>
      <c r="F9" s="5" t="inlineStr">
        <is>
          <t>AI-SYS-004 SafeFrame</t>
        </is>
      </c>
      <c r="G9" s="5" t="inlineStr">
        <is>
          <t>[Creative Director]</t>
        </is>
      </c>
      <c r="H9" s="5" t="n">
        <v>3</v>
      </c>
      <c r="I9" s="5" t="n">
        <v>5</v>
      </c>
      <c r="J9" s="5">
        <f>IF(OR(H9="",I9=""),"",H9*I9)</f>
        <v/>
      </c>
      <c r="K9" s="5">
        <f>IF(J9="","",IF(J9&gt;=16,"Critical",IF(J9&gt;=10,"High",IF(J9&gt;=5,"Medium","Low"))))</f>
        <v/>
      </c>
      <c r="L9" s="5" t="inlineStr">
        <is>
          <t>Weekly canary test set; vendor version pinning (since INC-2026-007)</t>
        </is>
      </c>
      <c r="M9" s="5" t="inlineStr">
        <is>
          <t>Modify</t>
        </is>
      </c>
      <c r="N9" s="5" t="inlineStr">
        <is>
          <t>5.22</t>
        </is>
      </c>
      <c r="O9" s="5" t="inlineStr">
        <is>
          <t>A.10.3, A.6.2.6</t>
        </is>
      </c>
      <c r="P9" s="5" t="n">
        <v>2</v>
      </c>
      <c r="Q9" s="5" t="n">
        <v>5</v>
      </c>
      <c r="R9" s="5">
        <f>IF(OR(P9="",Q9=""),"",P9*Q9)</f>
        <v/>
      </c>
      <c r="S9" s="5">
        <f>IF(R9="","",IF(R9&gt;=16,"Critical",IF(R9&gt;=10,"High",IF(R9&gt;=5,"Medium","Low"))))</f>
        <v/>
      </c>
      <c r="T9" s="5" t="inlineStr">
        <is>
          <t>Trust Council 2026-10-21, until 2027-01-31, pending CA-2026-004</t>
        </is>
      </c>
      <c r="U9" s="5" t="inlineStr">
        <is>
          <t>2027-01-31</t>
        </is>
      </c>
      <c r="V9" s="5" t="inlineStr">
        <is>
          <t>In progress</t>
        </is>
      </c>
    </row>
    <row r="10">
      <c r="A10" s="5" t="inlineStr">
        <is>
          <t>RSK-IS-001</t>
        </is>
      </c>
      <c r="B10" s="5" t="inlineStr">
        <is>
          <t>IS</t>
        </is>
      </c>
      <c r="C10" s="5" t="inlineStr">
        <is>
          <t>Unreleased customer scripts exposed through a misconfigured storage bucket</t>
        </is>
      </c>
      <c r="D10" s="5" t="inlineStr">
        <is>
          <t>Bucket policy changed by hand outside infrastructure-as-code; no public-access guard</t>
        </is>
      </c>
      <c r="E10" s="5" t="inlineStr">
        <is>
          <t>Unreleased customer scripts exposed; notifiable breach; contract penalties</t>
        </is>
      </c>
      <c r="F10" s="5" t="inlineStr">
        <is>
          <t>AST-004 Customer scripts, prompts and project files</t>
        </is>
      </c>
      <c r="G10" s="5" t="inlineStr">
        <is>
          <t>[Platform Engineer]</t>
        </is>
      </c>
      <c r="H10" s="5" t="n">
        <v>3</v>
      </c>
      <c r="I10" s="5" t="n">
        <v>4</v>
      </c>
      <c r="J10" s="5">
        <f>IF(OR(H10="",I10=""),"",H10*I10)</f>
        <v/>
      </c>
      <c r="K10" s="5">
        <f>IF(J10="","",IF(J10&gt;=16,"Critical",IF(J10&gt;=10,"High",IF(J10&gt;=5,"Medium","Low"))))</f>
        <v/>
      </c>
      <c r="L10" s="5" t="inlineStr">
        <is>
          <t>Encryption at rest; IaC for most buckets</t>
        </is>
      </c>
      <c r="M10" s="5" t="inlineStr">
        <is>
          <t>Modify</t>
        </is>
      </c>
      <c r="N10" s="5" t="inlineStr">
        <is>
          <t>8.9, 8.12, 8.15, 5.23</t>
        </is>
      </c>
      <c r="O10" s="5" t="inlineStr">
        <is>
          <t>—</t>
        </is>
      </c>
      <c r="P10" s="5" t="n">
        <v>1</v>
      </c>
      <c r="Q10" s="5" t="n">
        <v>4</v>
      </c>
      <c r="R10" s="5">
        <f>IF(OR(P10="",Q10=""),"",P10*Q10)</f>
        <v/>
      </c>
      <c r="S10" s="5">
        <f>IF(R10="","",IF(R10&gt;=16,"Critical",IF(R10&gt;=10,"High",IF(R10&gt;=5,"Medium","Low"))))</f>
        <v/>
      </c>
      <c r="T10" s="5" t="inlineStr">
        <is>
          <t>[Platform Engineer] (risk owner)</t>
        </is>
      </c>
      <c r="U10" s="5" t="inlineStr">
        <is>
          <t>2027-03-31</t>
        </is>
      </c>
      <c r="V10" s="5" t="inlineStr">
        <is>
          <t>Implemented</t>
        </is>
      </c>
    </row>
    <row r="11">
      <c r="A11" s="5" t="inlineStr">
        <is>
          <t>RSK-IS-002</t>
        </is>
      </c>
      <c r="B11" s="5" t="inlineStr">
        <is>
          <t>IS</t>
        </is>
      </c>
      <c r="C11" s="5" t="inlineStr">
        <is>
          <t>Account takeover of an engineer through phishing leads to production access</t>
        </is>
      </c>
      <c r="D11" s="5" t="inlineStr">
        <is>
          <t>Credential phishing with relayed one-time codes against engineers</t>
        </is>
      </c>
      <c r="E11" s="5" t="inlineStr">
        <is>
          <t>Attacker reaches production; customer data and model weights stolen; notifiable breach</t>
        </is>
      </c>
      <c r="F11" s="5" t="inlineStr">
        <is>
          <t>AST-010 Staff identities, SSO and company laptops</t>
        </is>
      </c>
      <c r="G11" s="5" t="inlineStr">
        <is>
          <t>[Security Lead]</t>
        </is>
      </c>
      <c r="H11" s="5" t="n">
        <v>3</v>
      </c>
      <c r="I11" s="5" t="n">
        <v>5</v>
      </c>
      <c r="J11" s="5">
        <f>IF(OR(H11="",I11=""),"",H11*I11)</f>
        <v/>
      </c>
      <c r="K11" s="5">
        <f>IF(J11="","",IF(J11&gt;=16,"Critical",IF(J11&gt;=10,"High",IF(J11&gt;=5,"Medium","Low"))))</f>
        <v/>
      </c>
      <c r="L11" s="5" t="inlineStr">
        <is>
          <t>SSO with app-based one-time codes; yearly awareness training</t>
        </is>
      </c>
      <c r="M11" s="5" t="inlineStr">
        <is>
          <t>Modify</t>
        </is>
      </c>
      <c r="N11" s="5" t="inlineStr">
        <is>
          <t>5.17, 8.2, 8.5, 6.3</t>
        </is>
      </c>
      <c r="O11" s="5" t="inlineStr">
        <is>
          <t>—</t>
        </is>
      </c>
      <c r="P11" s="5" t="n">
        <v>1</v>
      </c>
      <c r="Q11" s="5" t="n">
        <v>5</v>
      </c>
      <c r="R11" s="5">
        <f>IF(OR(P11="",Q11=""),"",P11*Q11)</f>
        <v/>
      </c>
      <c r="S11" s="5">
        <f>IF(R11="","",IF(R11&gt;=16,"Critical",IF(R11&gt;=10,"High",IF(R11&gt;=5,"Medium","Low"))))</f>
        <v/>
      </c>
      <c r="T11" s="5" t="inlineStr">
        <is>
          <t>[Security Lead] (risk owner)</t>
        </is>
      </c>
      <c r="U11" s="5" t="inlineStr">
        <is>
          <t>2027-03-31</t>
        </is>
      </c>
      <c r="V11" s="5" t="inlineStr">
        <is>
          <t>Implemented</t>
        </is>
      </c>
    </row>
    <row r="12">
      <c r="A12" s="5" t="inlineStr">
        <is>
          <t>RSK-IS-003</t>
        </is>
      </c>
      <c r="B12" s="5" t="inlineStr">
        <is>
          <t>IS</t>
        </is>
      </c>
      <c r="C12" s="5" t="inlineStr">
        <is>
          <t>Secrets or source code pasted into unapproved AI tools by staff</t>
        </is>
      </c>
      <c r="D12" s="5" t="inlineStr">
        <is>
          <t>Staff use free AI chatbots to debug code or summarise documents</t>
        </is>
      </c>
      <c r="E12" s="5" t="inlineStr">
        <is>
          <t>Source code, API keys or customer data disclosed to an AI vendor and possibly used for training</t>
        </is>
      </c>
      <c r="F12" s="5" t="inlineStr">
        <is>
          <t>AST-009 Company source code repositories</t>
        </is>
      </c>
      <c r="G12" s="5" t="inlineStr">
        <is>
          <t>[Security Lead]</t>
        </is>
      </c>
      <c r="H12" s="5" t="n">
        <v>4</v>
      </c>
      <c r="I12" s="5" t="n">
        <v>3</v>
      </c>
      <c r="J12" s="5">
        <f>IF(OR(H12="",I12=""),"",H12*I12)</f>
        <v/>
      </c>
      <c r="K12" s="5">
        <f>IF(J12="","",IF(J12&gt;=16,"Critical",IF(J12&gt;=10,"High",IF(J12&gt;=5,"Medium","Low"))))</f>
        <v/>
      </c>
      <c r="L12" s="5" t="inlineStr">
        <is>
          <t>Acceptable use guidance (informal); secret scanning in CI</t>
        </is>
      </c>
      <c r="M12" s="5" t="inlineStr">
        <is>
          <t>Modify</t>
        </is>
      </c>
      <c r="N12" s="5" t="inlineStr">
        <is>
          <t>5.10, 6.3, 8.12</t>
        </is>
      </c>
      <c r="O12" s="5" t="inlineStr">
        <is>
          <t>A.9.2, A.9.4</t>
        </is>
      </c>
      <c r="P12" s="5" t="n">
        <v>2</v>
      </c>
      <c r="Q12" s="5" t="n">
        <v>3</v>
      </c>
      <c r="R12" s="5">
        <f>IF(OR(P12="",Q12=""),"",P12*Q12)</f>
        <v/>
      </c>
      <c r="S12" s="5">
        <f>IF(R12="","",IF(R12&gt;=16,"Critical",IF(R12&gt;=10,"High",IF(R12&gt;=5,"Medium","Low"))))</f>
        <v/>
      </c>
      <c r="T12" s="5" t="inlineStr">
        <is>
          <t>[Security Lead] (risk owner)</t>
        </is>
      </c>
      <c r="U12" s="5" t="inlineStr">
        <is>
          <t>2027-01-15</t>
        </is>
      </c>
      <c r="V12" s="5" t="inlineStr">
        <is>
          <t>In progress</t>
        </is>
      </c>
    </row>
    <row r="13">
      <c r="A13" s="5" t="inlineStr">
        <is>
          <t>RSK-IS-004</t>
        </is>
      </c>
      <c r="B13" s="5" t="inlineStr">
        <is>
          <t>IS</t>
        </is>
      </c>
      <c r="C13" s="5" t="inlineStr">
        <is>
          <t>Loss of the primary cloud region stops Canvas and the API for more than a day</t>
        </is>
      </c>
      <c r="D13" s="5" t="inlineStr">
        <is>
          <t>Single-region deployment; restore process untested</t>
        </is>
      </c>
      <c r="E13" s="5" t="inlineStr">
        <is>
          <t>Canvas and API down for more than 24 hours; SLA credits; customers leave</t>
        </is>
      </c>
      <c r="F13" s="5" t="inlineStr">
        <is>
          <t>AST-001 Production cloud environment (AWS accounts, eu-west-1 and me-central-1)</t>
        </is>
      </c>
      <c r="G13" s="5" t="inlineStr">
        <is>
          <t>[Platform Engineer]</t>
        </is>
      </c>
      <c r="H13" s="5" t="n">
        <v>2</v>
      </c>
      <c r="I13" s="5" t="n">
        <v>4</v>
      </c>
      <c r="J13" s="5">
        <f>IF(OR(H13="",I13=""),"",H13*I13)</f>
        <v/>
      </c>
      <c r="K13" s="5">
        <f>IF(J13="","",IF(J13&gt;=16,"Critical",IF(J13&gt;=10,"High",IF(J13&gt;=5,"Medium","Low"))))</f>
        <v/>
      </c>
      <c r="L13" s="5" t="inlineStr">
        <is>
          <t>Daily snapshots; multi-AZ database</t>
        </is>
      </c>
      <c r="M13" s="5" t="inlineStr">
        <is>
          <t>Modify</t>
        </is>
      </c>
      <c r="N13" s="5" t="inlineStr">
        <is>
          <t>5.29, 5.30, 8.13, 8.14</t>
        </is>
      </c>
      <c r="O13" s="5" t="inlineStr">
        <is>
          <t>—</t>
        </is>
      </c>
      <c r="P13" s="5" t="n">
        <v>2</v>
      </c>
      <c r="Q13" s="5" t="n">
        <v>2</v>
      </c>
      <c r="R13" s="5">
        <f>IF(OR(P13="",Q13=""),"",P13*Q13)</f>
        <v/>
      </c>
      <c r="S13" s="5">
        <f>IF(R13="","",IF(R13&gt;=16,"Critical",IF(R13&gt;=10,"High",IF(R13&gt;=5,"Medium","Low"))))</f>
        <v/>
      </c>
      <c r="T13" s="5" t="inlineStr">
        <is>
          <t>[Platform Engineer] (risk owner)</t>
        </is>
      </c>
      <c r="U13" s="5" t="inlineStr">
        <is>
          <t>2027-03-31</t>
        </is>
      </c>
      <c r="V13" s="5" t="inlineStr">
        <is>
          <t>Implemented</t>
        </is>
      </c>
    </row>
    <row r="14">
      <c r="A14" s="5" t="inlineStr">
        <is>
          <t>RSK-IS-005</t>
        </is>
      </c>
      <c r="B14" s="5" t="inlineStr">
        <is>
          <t>IS</t>
        </is>
      </c>
      <c r="C14" s="5" t="inlineStr">
        <is>
          <t>Vulnerable open-source dependency exploited in the Canvas web app</t>
        </is>
      </c>
      <c r="D14" s="5" t="inlineStr">
        <is>
          <t>Outdated npm packages; no time-bound patching rule</t>
        </is>
      </c>
      <c r="E14" s="5" t="inlineStr">
        <is>
          <t>Remote code execution or data theft through the web app</t>
        </is>
      </c>
      <c r="F14" s="5" t="inlineStr">
        <is>
          <t>AST-002 Quillfen Canvas web application and its source code</t>
        </is>
      </c>
      <c r="G14" s="5" t="inlineStr">
        <is>
          <t>[CTO]</t>
        </is>
      </c>
      <c r="H14" s="5" t="n">
        <v>3</v>
      </c>
      <c r="I14" s="5" t="n">
        <v>4</v>
      </c>
      <c r="J14" s="5">
        <f>IF(OR(H14="",I14=""),"",H14*I14)</f>
        <v/>
      </c>
      <c r="K14" s="5">
        <f>IF(J14="","",IF(J14&gt;=16,"Critical",IF(J14&gt;=10,"High",IF(J14&gt;=5,"Medium","Low"))))</f>
        <v/>
      </c>
      <c r="L14" s="5" t="inlineStr">
        <is>
          <t>Dependency scanning alerts in GitHub</t>
        </is>
      </c>
      <c r="M14" s="5" t="inlineStr">
        <is>
          <t>Modify</t>
        </is>
      </c>
      <c r="N14" s="5" t="inlineStr">
        <is>
          <t>8.8, 8.25, 8.28, 8.29</t>
        </is>
      </c>
      <c r="O14" s="5" t="inlineStr">
        <is>
          <t>—</t>
        </is>
      </c>
      <c r="P14" s="5" t="n">
        <v>2</v>
      </c>
      <c r="Q14" s="5" t="n">
        <v>3</v>
      </c>
      <c r="R14" s="5">
        <f>IF(OR(P14="",Q14=""),"",P14*Q14)</f>
        <v/>
      </c>
      <c r="S14" s="5">
        <f>IF(R14="","",IF(R14&gt;=16,"Critical",IF(R14&gt;=10,"High",IF(R14&gt;=5,"Medium","Low"))))</f>
        <v/>
      </c>
      <c r="T14" s="5" t="inlineStr">
        <is>
          <t>[CTO] (risk owner)</t>
        </is>
      </c>
      <c r="U14" s="5" t="inlineStr">
        <is>
          <t>2027-01-15</t>
        </is>
      </c>
      <c r="V14" s="5" t="inlineStr">
        <is>
          <t>In progress</t>
        </is>
      </c>
    </row>
    <row r="15">
      <c r="A15" s="5" t="inlineStr">
        <is>
          <t>RSK-IS-006</t>
        </is>
      </c>
      <c r="B15" s="5" t="inlineStr">
        <is>
          <t>IS</t>
        </is>
      </c>
      <c r="C15" s="5" t="inlineStr">
        <is>
          <t>Former contractor keeps access to GitHub or AWS after the contract ends</t>
        </is>
      </c>
      <c r="D15" s="5" t="inlineStr">
        <is>
          <t>Contractor offboarding run by hiring managers; no automatic deprovisioning</t>
        </is>
      </c>
      <c r="E15" s="5" t="inlineStr">
        <is>
          <t>Source code or customer data accessed by someone with no business need</t>
        </is>
      </c>
      <c r="F15" s="5" t="inlineStr">
        <is>
          <t>AST-010 Staff identities, SSO and company laptops</t>
        </is>
      </c>
      <c r="G15" s="5" t="inlineStr">
        <is>
          <t>[Security Lead]</t>
        </is>
      </c>
      <c r="H15" s="5" t="n">
        <v>3</v>
      </c>
      <c r="I15" s="5" t="n">
        <v>3</v>
      </c>
      <c r="J15" s="5">
        <f>IF(OR(H15="",I15=""),"",H15*I15)</f>
        <v/>
      </c>
      <c r="K15" s="5">
        <f>IF(J15="","",IF(J15&gt;=16,"Critical",IF(J15&gt;=10,"High",IF(J15&gt;=5,"Medium","Low"))))</f>
        <v/>
      </c>
      <c r="L15" s="5" t="inlineStr">
        <is>
          <t>Enterprise SSO for most tools</t>
        </is>
      </c>
      <c r="M15" s="5" t="inlineStr">
        <is>
          <t>Modify</t>
        </is>
      </c>
      <c r="N15" s="5" t="inlineStr">
        <is>
          <t>5.11, 5.18, 6.5</t>
        </is>
      </c>
      <c r="O15" s="5" t="inlineStr">
        <is>
          <t>—</t>
        </is>
      </c>
      <c r="P15" s="5" t="n">
        <v>1</v>
      </c>
      <c r="Q15" s="5" t="n">
        <v>3</v>
      </c>
      <c r="R15" s="5">
        <f>IF(OR(P15="",Q15=""),"",P15*Q15)</f>
        <v/>
      </c>
      <c r="S15" s="5">
        <f>IF(R15="","",IF(R15&gt;=16,"Critical",IF(R15&gt;=10,"High",IF(R15&gt;=5,"Medium","Low"))))</f>
        <v/>
      </c>
      <c r="T15" s="5" t="inlineStr">
        <is>
          <t>[Security Lead] (risk owner)</t>
        </is>
      </c>
      <c r="U15" s="5" t="inlineStr">
        <is>
          <t>2027-03-31</t>
        </is>
      </c>
      <c r="V15" s="5" t="inlineStr">
        <is>
          <t>In progress</t>
        </is>
      </c>
    </row>
    <row r="16">
      <c r="A16" s="5" t="inlineStr">
        <is>
          <t>RSK-IS-007</t>
        </is>
      </c>
      <c r="B16" s="5" t="inlineStr">
        <is>
          <t>IS</t>
        </is>
      </c>
      <c r="C16" s="5" t="inlineStr">
        <is>
          <t>Ransomware on a company laptop encrypts synced business records</t>
        </is>
      </c>
      <c r="D16" s="5" t="inlineStr">
        <is>
          <t>Malicious attachment; sync client propagates encrypted files</t>
        </is>
      </c>
      <c r="E16" s="5" t="inlineStr">
        <is>
          <t>Finance and HR records unavailable for days; possible personal-data breach</t>
        </is>
      </c>
      <c r="F16" s="5" t="inlineStr">
        <is>
          <t>AST-011 Business records (finance, HR, contracts)</t>
        </is>
      </c>
      <c r="G16" s="5" t="inlineStr">
        <is>
          <t>[Security Lead]</t>
        </is>
      </c>
      <c r="H16" s="5" t="n">
        <v>2</v>
      </c>
      <c r="I16" s="5" t="n">
        <v>3</v>
      </c>
      <c r="J16" s="5">
        <f>IF(OR(H16="",I16=""),"",H16*I16)</f>
        <v/>
      </c>
      <c r="K16" s="5">
        <f>IF(J16="","",IF(J16&gt;=16,"Critical",IF(J16&gt;=10,"High",IF(J16&gt;=5,"Medium","Low"))))</f>
        <v/>
      </c>
      <c r="L16" s="5" t="inlineStr">
        <is>
          <t>EDR on all laptops; SaaS version history</t>
        </is>
      </c>
      <c r="M16" s="5" t="inlineStr">
        <is>
          <t>Modify</t>
        </is>
      </c>
      <c r="N16" s="5" t="inlineStr">
        <is>
          <t>8.1, 8.7, 8.13</t>
        </is>
      </c>
      <c r="O16" s="5" t="inlineStr">
        <is>
          <t>—</t>
        </is>
      </c>
      <c r="P16" s="5" t="n">
        <v>1</v>
      </c>
      <c r="Q16" s="5" t="n">
        <v>3</v>
      </c>
      <c r="R16" s="5">
        <f>IF(OR(P16="",Q16=""),"",P16*Q16)</f>
        <v/>
      </c>
      <c r="S16" s="5">
        <f>IF(R16="","",IF(R16&gt;=16,"Critical",IF(R16&gt;=10,"High",IF(R16&gt;=5,"Medium","Low"))))</f>
        <v/>
      </c>
      <c r="T16" s="5" t="inlineStr">
        <is>
          <t>[Security Lead] (risk owner)</t>
        </is>
      </c>
      <c r="U16" s="5" t="inlineStr">
        <is>
          <t>2027-03-31</t>
        </is>
      </c>
      <c r="V16" s="5" t="inlineStr">
        <is>
          <t>Implemented</t>
        </is>
      </c>
    </row>
    <row r="17">
      <c r="A17" s="5" t="inlineStr">
        <is>
          <t>RSK-IS-008</t>
        </is>
      </c>
      <c r="B17" s="5" t="inlineStr">
        <is>
          <t>IS</t>
        </is>
      </c>
      <c r="C17" s="5" t="inlineStr">
        <is>
          <t>Foundation-model API key leaked and abused</t>
        </is>
      </c>
      <c r="D17" s="5" t="inlineStr">
        <is>
          <t>Key committed to a repository or pasted into a ticket; no spend limit</t>
        </is>
      </c>
      <c r="E17" s="5" t="inlineStr">
        <is>
          <t>Five-figure bill overnight; prompts and outputs exposed; service suspended by provider</t>
        </is>
      </c>
      <c r="F17" s="5" t="inlineStr">
        <is>
          <t>AST-008 Foundation-model and image-model API keys and service accounts</t>
        </is>
      </c>
      <c r="G17" s="5" t="inlineStr">
        <is>
          <t>[Platform Engineer]</t>
        </is>
      </c>
      <c r="H17" s="5" t="n">
        <v>3</v>
      </c>
      <c r="I17" s="5" t="n">
        <v>4</v>
      </c>
      <c r="J17" s="5">
        <f>IF(OR(H17="",I17=""),"",H17*I17)</f>
        <v/>
      </c>
      <c r="K17" s="5">
        <f>IF(J17="","",IF(J17&gt;=16,"Critical",IF(J17&gt;=10,"High",IF(J17&gt;=5,"Medium","Low"))))</f>
        <v/>
      </c>
      <c r="L17" s="5" t="inlineStr">
        <is>
          <t>Secrets manager for production; secret scanning in CI</t>
        </is>
      </c>
      <c r="M17" s="5" t="inlineStr">
        <is>
          <t>Modify</t>
        </is>
      </c>
      <c r="N17" s="5" t="inlineStr">
        <is>
          <t>5.17, 8.12, 8.16, 8.24</t>
        </is>
      </c>
      <c r="O17" s="5" t="inlineStr">
        <is>
          <t>A.4.4</t>
        </is>
      </c>
      <c r="P17" s="5" t="n">
        <v>2</v>
      </c>
      <c r="Q17" s="5" t="n">
        <v>3</v>
      </c>
      <c r="R17" s="5">
        <f>IF(OR(P17="",Q17=""),"",P17*Q17)</f>
        <v/>
      </c>
      <c r="S17" s="5">
        <f>IF(R17="","",IF(R17&gt;=16,"Critical",IF(R17&gt;=10,"High",IF(R17&gt;=5,"Medium","Low"))))</f>
        <v/>
      </c>
      <c r="T17" s="5" t="inlineStr">
        <is>
          <t>[Platform Engineer] (risk owner)</t>
        </is>
      </c>
      <c r="U17" s="5" t="inlineStr">
        <is>
          <t>2027-01-15</t>
        </is>
      </c>
      <c r="V17" s="5" t="inlineStr">
        <is>
          <t>In progress</t>
        </is>
      </c>
    </row>
    <row r="18">
      <c r="A18" s="5" t="inlineStr">
        <is>
          <t>RSK-IS-009</t>
        </is>
      </c>
      <c r="B18" s="5" t="inlineStr">
        <is>
          <t>IS</t>
        </is>
      </c>
      <c r="C18" s="5" t="inlineStr">
        <is>
          <t>Broken access control in Commons exposes artists' payout and identity details</t>
        </is>
      </c>
      <c r="D18" s="5" t="inlineStr">
        <is>
          <t>Object IDs in the API not checked against the logged-in user</t>
        </is>
      </c>
      <c r="E18" s="5" t="inlineStr">
        <is>
          <t>Personal data of artists exposed; notifiable breach; artists leave the marketplace</t>
        </is>
      </c>
      <c r="F18" s="5" t="inlineStr">
        <is>
          <t>AST-003 Quillfen Commons marketplace (artist profiles, commissions, payouts data)</t>
        </is>
      </c>
      <c r="G18" s="5" t="inlineStr">
        <is>
          <t>[CTO]</t>
        </is>
      </c>
      <c r="H18" s="5" t="n">
        <v>3</v>
      </c>
      <c r="I18" s="5" t="n">
        <v>4</v>
      </c>
      <c r="J18" s="5">
        <f>IF(OR(H18="",I18=""),"",H18*I18)</f>
        <v/>
      </c>
      <c r="K18" s="5">
        <f>IF(J18="","",IF(J18&gt;=16,"Critical",IF(J18&gt;=10,"High",IF(J18&gt;=5,"Medium","Low"))))</f>
        <v/>
      </c>
      <c r="L18" s="5" t="inlineStr">
        <is>
          <t>Code review; annual pentest</t>
        </is>
      </c>
      <c r="M18" s="5" t="inlineStr">
        <is>
          <t>Modify</t>
        </is>
      </c>
      <c r="N18" s="5" t="inlineStr">
        <is>
          <t>8.3, 8.26, 8.28, 8.29</t>
        </is>
      </c>
      <c r="O18" s="5" t="inlineStr">
        <is>
          <t>—</t>
        </is>
      </c>
      <c r="P18" s="5" t="n">
        <v>1</v>
      </c>
      <c r="Q18" s="5" t="n">
        <v>4</v>
      </c>
      <c r="R18" s="5">
        <f>IF(OR(P18="",Q18=""),"",P18*Q18)</f>
        <v/>
      </c>
      <c r="S18" s="5">
        <f>IF(R18="","",IF(R18&gt;=16,"Critical",IF(R18&gt;=10,"High",IF(R18&gt;=5,"Medium","Low"))))</f>
        <v/>
      </c>
      <c r="T18" s="5" t="inlineStr">
        <is>
          <t>[CTO] (risk owner)</t>
        </is>
      </c>
      <c r="U18" s="5" t="inlineStr">
        <is>
          <t>2027-03-31</t>
        </is>
      </c>
      <c r="V18" s="5" t="inlineStr">
        <is>
          <t>Implemented</t>
        </is>
      </c>
    </row>
    <row r="19">
      <c r="A19" s="5" t="inlineStr">
        <is>
          <t>RSK-AI-006</t>
        </is>
      </c>
      <c r="B19" s="5" t="inlineStr">
        <is>
          <t>AI</t>
        </is>
      </c>
      <c r="C19" s="5" t="inlineStr">
        <is>
          <t>Prompt injection hidden in an uploaded script makes ScriptMate ignore its instructions</t>
        </is>
      </c>
      <c r="D19" s="5" t="inlineStr">
        <is>
          <t>Untrusted script text passed to the model in the same context as system instructions</t>
        </is>
      </c>
      <c r="E19" s="5" t="inlineStr">
        <is>
          <t>Misleading scene lists; system prompt disclosed; customer loses trust</t>
        </is>
      </c>
      <c r="F19" s="5" t="inlineStr">
        <is>
          <t>AI-SYS-002 ScriptMate</t>
        </is>
      </c>
      <c r="G19" s="5" t="inlineStr">
        <is>
          <t>[Head of AI]</t>
        </is>
      </c>
      <c r="H19" s="5" t="n">
        <v>3</v>
      </c>
      <c r="I19" s="5" t="n">
        <v>3</v>
      </c>
      <c r="J19" s="5">
        <f>IF(OR(H19="",I19=""),"",H19*I19)</f>
        <v/>
      </c>
      <c r="K19" s="5">
        <f>IF(J19="","",IF(J19&gt;=16,"Critical",IF(J19&gt;=10,"High",IF(J19&gt;=5,"Medium","Low"))))</f>
        <v/>
      </c>
      <c r="L19" s="5" t="inlineStr">
        <is>
          <t>Output limited to scene lists; no tool access</t>
        </is>
      </c>
      <c r="M19" s="5" t="inlineStr">
        <is>
          <t>Modify</t>
        </is>
      </c>
      <c r="N19" s="5" t="inlineStr">
        <is>
          <t>8.28</t>
        </is>
      </c>
      <c r="O19" s="5" t="inlineStr">
        <is>
          <t>A.6.2.4, A.6.2.6</t>
        </is>
      </c>
      <c r="P19" s="5" t="n">
        <v>2</v>
      </c>
      <c r="Q19" s="5" t="n">
        <v>2</v>
      </c>
      <c r="R19" s="5">
        <f>IF(OR(P19="",Q19=""),"",P19*Q19)</f>
        <v/>
      </c>
      <c r="S19" s="5">
        <f>IF(R19="","",IF(R19&gt;=16,"Critical",IF(R19&gt;=10,"High",IF(R19&gt;=5,"Medium","Low"))))</f>
        <v/>
      </c>
      <c r="T19" s="5" t="inlineStr">
        <is>
          <t>[Head of AI] (risk owner)</t>
        </is>
      </c>
      <c r="U19" s="5" t="inlineStr">
        <is>
          <t>2027-03-31</t>
        </is>
      </c>
      <c r="V19" s="5" t="inlineStr">
        <is>
          <t>In progress</t>
        </is>
      </c>
    </row>
    <row r="20">
      <c r="A20" s="5" t="inlineStr">
        <is>
          <t>RSK-AI-007</t>
        </is>
      </c>
      <c r="B20" s="5" t="inlineStr">
        <is>
          <t>AI</t>
        </is>
      </c>
      <c r="C20" s="5" t="inlineStr">
        <is>
          <t>StoryFrame outputs closely imitate a living artist's signature style or a protected character</t>
        </is>
      </c>
      <c r="D20" s="5" t="inlineStr">
        <is>
          <t>Base model memorised popular works; prompts name living artists</t>
        </is>
      </c>
      <c r="E20" s="5" t="inlineStr">
        <is>
          <t>Infringement claim; harm to the artist's income and reputation; marketplace trust lost</t>
        </is>
      </c>
      <c r="F20" s="5" t="inlineStr">
        <is>
          <t>AI-SYS-001 StoryFrame</t>
        </is>
      </c>
      <c r="G20" s="5" t="inlineStr">
        <is>
          <t>[Creative Director]</t>
        </is>
      </c>
      <c r="H20" s="5" t="n">
        <v>3</v>
      </c>
      <c r="I20" s="5" t="n">
        <v>4</v>
      </c>
      <c r="J20" s="5">
        <f>IF(OR(H20="",I20=""),"",H20*I20)</f>
        <v/>
      </c>
      <c r="K20" s="5">
        <f>IF(J20="","",IF(J20&gt;=16,"Critical",IF(J20&gt;=10,"High",IF(J20&gt;=5,"Medium","Low"))))</f>
        <v/>
      </c>
      <c r="L20" s="5" t="inlineStr">
        <is>
          <t>Artist-name prompt warnings</t>
        </is>
      </c>
      <c r="M20" s="5" t="inlineStr">
        <is>
          <t>Modify</t>
        </is>
      </c>
      <c r="N20" s="5" t="inlineStr">
        <is>
          <t>5.32</t>
        </is>
      </c>
      <c r="O20" s="5" t="inlineStr">
        <is>
          <t>A.6.2.4, A.7.5, A.8.2, A.9.4</t>
        </is>
      </c>
      <c r="P20" s="5" t="n">
        <v>2</v>
      </c>
      <c r="Q20" s="5" t="n">
        <v>3</v>
      </c>
      <c r="R20" s="5">
        <f>IF(OR(P20="",Q20=""),"",P20*Q20)</f>
        <v/>
      </c>
      <c r="S20" s="5">
        <f>IF(R20="","",IF(R20&gt;=16,"Critical",IF(R20&gt;=10,"High",IF(R20&gt;=5,"Medium","Low"))))</f>
        <v/>
      </c>
      <c r="T20" s="5" t="inlineStr">
        <is>
          <t>[Creative Director] (risk owner)</t>
        </is>
      </c>
      <c r="U20" s="5" t="inlineStr">
        <is>
          <t>2027-01-15</t>
        </is>
      </c>
      <c r="V20" s="5" t="inlineStr">
        <is>
          <t>In progress</t>
        </is>
      </c>
    </row>
    <row r="21">
      <c r="A21" s="5" t="inlineStr">
        <is>
          <t>RSK-AI-008</t>
        </is>
      </c>
      <c r="B21" s="5" t="inlineStr">
        <is>
          <t>AI</t>
        </is>
      </c>
      <c r="C21" s="5" t="inlineStr">
        <is>
          <t>ArtistMatch relevance drifts as the marketplace grows and nobody notices</t>
        </is>
      </c>
      <c r="D21" s="5" t="inlineStr">
        <is>
          <t>Model trained on 2025 data; no drift metric or alert</t>
        </is>
      </c>
      <c r="E21" s="5" t="inlineStr">
        <is>
          <t>Poor matches, fewer completed commissions, unfair exposure creeping back</t>
        </is>
      </c>
      <c r="F21" s="5" t="inlineStr">
        <is>
          <t>AI-SYS-003 ArtistMatch</t>
        </is>
      </c>
      <c r="G21" s="5" t="inlineStr">
        <is>
          <t>[Data and ML Lead]</t>
        </is>
      </c>
      <c r="H21" s="5" t="n">
        <v>3</v>
      </c>
      <c r="I21" s="5" t="n">
        <v>2</v>
      </c>
      <c r="J21" s="5">
        <f>IF(OR(H21="",I21=""),"",H21*I21)</f>
        <v/>
      </c>
      <c r="K21" s="5">
        <f>IF(J21="","",IF(J21&gt;=16,"Critical",IF(J21&gt;=10,"High",IF(J21&gt;=5,"Medium","Low"))))</f>
        <v/>
      </c>
      <c r="L21" s="5" t="inlineStr">
        <is>
          <t>Quarterly manual retrain</t>
        </is>
      </c>
      <c r="M21" s="5" t="inlineStr">
        <is>
          <t>Modify</t>
        </is>
      </c>
      <c r="N21" s="5" t="inlineStr">
        <is>
          <t>—</t>
        </is>
      </c>
      <c r="O21" s="5" t="inlineStr">
        <is>
          <t>A.6.2.6, A.6.2.8</t>
        </is>
      </c>
      <c r="P21" s="5" t="n">
        <v>2</v>
      </c>
      <c r="Q21" s="5" t="n">
        <v>2</v>
      </c>
      <c r="R21" s="5">
        <f>IF(OR(P21="",Q21=""),"",P21*Q21)</f>
        <v/>
      </c>
      <c r="S21" s="5">
        <f>IF(R21="","",IF(R21&gt;=16,"Critical",IF(R21&gt;=10,"High",IF(R21&gt;=5,"Medium","Low"))))</f>
        <v/>
      </c>
      <c r="T21" s="5" t="inlineStr">
        <is>
          <t>[Data and ML Lead] (risk owner)</t>
        </is>
      </c>
      <c r="U21" s="5" t="inlineStr">
        <is>
          <t>2027-03-31</t>
        </is>
      </c>
      <c r="V21" s="5" t="inlineStr">
        <is>
          <t>Planned</t>
        </is>
      </c>
    </row>
    <row r="22">
      <c r="A22" s="5" t="inlineStr">
        <is>
          <t>RSK-AI-009</t>
        </is>
      </c>
      <c r="B22" s="5" t="inlineStr">
        <is>
          <t>AI</t>
        </is>
      </c>
      <c r="C22" s="5" t="inlineStr">
        <is>
          <t>Engineers accept insecure CodeAssist suggestions without proper review</t>
        </is>
      </c>
      <c r="D22" s="5" t="inlineStr">
        <is>
          <t>Over-trust in AI suggestions; time pressure; reviewers assume code was checked</t>
        </is>
      </c>
      <c r="E22" s="5" t="inlineStr">
        <is>
          <t>Vulnerabilities shipped to production</t>
        </is>
      </c>
      <c r="F22" s="5" t="inlineStr">
        <is>
          <t>AI-SYS-005 CodeAssist</t>
        </is>
      </c>
      <c r="G22" s="5" t="inlineStr">
        <is>
          <t>[CTO]</t>
        </is>
      </c>
      <c r="H22" s="5" t="n">
        <v>4</v>
      </c>
      <c r="I22" s="5" t="n">
        <v>3</v>
      </c>
      <c r="J22" s="5">
        <f>IF(OR(H22="",I22=""),"",H22*I22)</f>
        <v/>
      </c>
      <c r="K22" s="5">
        <f>IF(J22="","",IF(J22&gt;=16,"Critical",IF(J22&gt;=10,"High",IF(J22&gt;=5,"Medium","Low"))))</f>
        <v/>
      </c>
      <c r="L22" s="5" t="inlineStr">
        <is>
          <t>Mandatory code review; SAST in CI</t>
        </is>
      </c>
      <c r="M22" s="5" t="inlineStr">
        <is>
          <t>Modify</t>
        </is>
      </c>
      <c r="N22" s="5" t="inlineStr">
        <is>
          <t>8.25, 8.28, 8.29</t>
        </is>
      </c>
      <c r="O22" s="5" t="inlineStr">
        <is>
          <t>A.9.2, A.9.3</t>
        </is>
      </c>
      <c r="P22" s="5" t="n">
        <v>2</v>
      </c>
      <c r="Q22" s="5" t="n">
        <v>3</v>
      </c>
      <c r="R22" s="5">
        <f>IF(OR(P22="",Q22=""),"",P22*Q22)</f>
        <v/>
      </c>
      <c r="S22" s="5">
        <f>IF(R22="","",IF(R22&gt;=16,"Critical",IF(R22&gt;=10,"High",IF(R22&gt;=5,"Medium","Low"))))</f>
        <v/>
      </c>
      <c r="T22" s="5" t="inlineStr">
        <is>
          <t>[CTO] (risk owner)</t>
        </is>
      </c>
      <c r="U22" s="5" t="inlineStr">
        <is>
          <t>2027-03-31</t>
        </is>
      </c>
      <c r="V22" s="5" t="inlineStr">
        <is>
          <t>In progress</t>
        </is>
      </c>
    </row>
    <row r="23">
      <c r="A23" s="5" t="inlineStr">
        <is>
          <t>RSK-AI-010</t>
        </is>
      </c>
      <c r="B23" s="5" t="inlineStr">
        <is>
          <t>AI</t>
        </is>
      </c>
      <c r="C23" s="5" t="inlineStr">
        <is>
          <t>Customers publish StoryFrame images in adverts without the required AI disclosure</t>
        </is>
      </c>
      <c r="D23" s="5" t="inlineStr">
        <is>
          <t>Customers strip labels or credentials; terms do not explain their duties</t>
        </is>
      </c>
      <c r="E23" s="5" t="inlineStr">
        <is>
          <t>Audiences deceived; customer and our brand exposed under EU AI Act and advertising rules</t>
        </is>
      </c>
      <c r="F23" s="5" t="inlineStr">
        <is>
          <t>AI-SYS-001 StoryFrame</t>
        </is>
      </c>
      <c r="G23" s="5" t="inlineStr">
        <is>
          <t>[Privacy and Legal Lead]</t>
        </is>
      </c>
      <c r="H23" s="5" t="n">
        <v>3</v>
      </c>
      <c r="I23" s="5" t="n">
        <v>3</v>
      </c>
      <c r="J23" s="5">
        <f>IF(OR(H23="",I23=""),"",H23*I23)</f>
        <v/>
      </c>
      <c r="K23" s="5">
        <f>IF(J23="","",IF(J23&gt;=16,"Critical",IF(J23&gt;=10,"High",IF(J23&gt;=5,"Medium","Low"))))</f>
        <v/>
      </c>
      <c r="L23" s="5" t="inlineStr">
        <is>
          <t>Visible label and C2PA credentials on export</t>
        </is>
      </c>
      <c r="M23" s="5" t="inlineStr">
        <is>
          <t>Share</t>
        </is>
      </c>
      <c r="N23" s="5" t="inlineStr">
        <is>
          <t>5.31</t>
        </is>
      </c>
      <c r="O23" s="5" t="inlineStr">
        <is>
          <t>A.8.2, A.9.4, A.10.4</t>
        </is>
      </c>
      <c r="P23" s="5" t="n">
        <v>2</v>
      </c>
      <c r="Q23" s="5" t="n">
        <v>3</v>
      </c>
      <c r="R23" s="5">
        <f>IF(OR(P23="",Q23=""),"",P23*Q23)</f>
        <v/>
      </c>
      <c r="S23" s="5">
        <f>IF(R23="","",IF(R23&gt;=16,"Critical",IF(R23&gt;=10,"High",IF(R23&gt;=5,"Medium","Low"))))</f>
        <v/>
      </c>
      <c r="T23" s="5" t="inlineStr">
        <is>
          <t>[Privacy and Legal Lead] (risk owner)</t>
        </is>
      </c>
      <c r="U23" s="5" t="inlineStr">
        <is>
          <t>2027-03-31</t>
        </is>
      </c>
      <c r="V23" s="5" t="inlineStr">
        <is>
          <t>Planned</t>
        </is>
      </c>
    </row>
    <row r="24">
      <c r="A24" s="10" t="inlineStr">
        <is>
          <t>[RSK-IS-0xx]</t>
        </is>
      </c>
      <c r="B24" s="10" t="inlineStr">
        <is>
          <t>[IS or AI]</t>
        </is>
      </c>
      <c r="C24" s="10" t="inlineStr">
        <is>
          <t>[cause → event → consequence in one line]</t>
        </is>
      </c>
      <c r="D24" s="10" t="inlineStr">
        <is>
          <t>[cause]</t>
        </is>
      </c>
      <c r="E24" s="10" t="inlineStr">
        <is>
          <t>[who or what is harmed]</t>
        </is>
      </c>
      <c r="F24" s="10" t="inlineStr">
        <is>
          <t>[AST-0xx or AI-SYS-00x]</t>
        </is>
      </c>
      <c r="G24" s="10" t="inlineStr">
        <is>
          <t>[one named owner]</t>
        </is>
      </c>
      <c r="H24" s="5" t="inlineStr"/>
      <c r="I24" s="5" t="inlineStr"/>
      <c r="J24" s="5">
        <f>IF(OR(H24="",I24=""),"",H24*I24)</f>
        <v/>
      </c>
      <c r="K24" s="5">
        <f>IF(J24="","",IF(J24&gt;=16,"Critical",IF(J24&gt;=10,"High",IF(J24&gt;=5,"Medium","Low"))))</f>
        <v/>
      </c>
      <c r="L24" s="10" t="inlineStr">
        <is>
          <t>[controls that work today]</t>
        </is>
      </c>
      <c r="M24" s="5" t="inlineStr"/>
      <c r="N24" s="10" t="inlineStr">
        <is>
          <t>[e.g. 8.8]</t>
        </is>
      </c>
      <c r="O24" s="10" t="inlineStr">
        <is>
          <t>[e.g. A.6.2.4]</t>
        </is>
      </c>
      <c r="P24" s="5" t="inlineStr"/>
      <c r="Q24" s="5" t="inlineStr"/>
      <c r="R24" s="5">
        <f>IF(OR(P24="",Q24=""),"",P24*Q24)</f>
        <v/>
      </c>
      <c r="S24" s="5">
        <f>IF(R24="","",IF(R24&gt;=16,"Critical",IF(R24&gt;=10,"High",IF(R24&gt;=5,"Medium","Low"))))</f>
        <v/>
      </c>
      <c r="T24" s="10" t="inlineStr">
        <is>
          <t>[name, date]</t>
        </is>
      </c>
      <c r="U24" s="10" t="inlineStr">
        <is>
          <t>[yyyy-mm-dd]</t>
        </is>
      </c>
      <c r="V24" s="5" t="inlineStr">
        <is>
          <t>Open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>
        <f>IF(OR(H25="",I25=""),"",H25*I25)</f>
        <v/>
      </c>
      <c r="K25" s="5">
        <f>IF(J25="","",IF(J25&gt;=16,"Critical",IF(J25&gt;=10,"High",IF(J25&gt;=5,"Medium","Low"))))</f>
        <v/>
      </c>
      <c r="L25" s="5" t="n"/>
      <c r="M25" s="5" t="n"/>
      <c r="N25" s="5" t="n"/>
      <c r="O25" s="5" t="n"/>
      <c r="P25" s="5" t="n"/>
      <c r="Q25" s="5" t="n"/>
      <c r="R25" s="5">
        <f>IF(OR(P25="",Q25=""),"",P25*Q25)</f>
        <v/>
      </c>
      <c r="S25" s="5">
        <f>IF(R25="","",IF(R25&gt;=16,"Critical",IF(R25&gt;=10,"High",IF(R25&gt;=5,"Medium","Low"))))</f>
        <v/>
      </c>
      <c r="T25" s="5" t="n"/>
      <c r="U25" s="5" t="n"/>
      <c r="V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>
        <f>IF(OR(H26="",I26=""),"",H26*I26)</f>
        <v/>
      </c>
      <c r="K26" s="5">
        <f>IF(J26="","",IF(J26&gt;=16,"Critical",IF(J26&gt;=10,"High",IF(J26&gt;=5,"Medium","Low"))))</f>
        <v/>
      </c>
      <c r="L26" s="5" t="n"/>
      <c r="M26" s="5" t="n"/>
      <c r="N26" s="5" t="n"/>
      <c r="O26" s="5" t="n"/>
      <c r="P26" s="5" t="n"/>
      <c r="Q26" s="5" t="n"/>
      <c r="R26" s="5">
        <f>IF(OR(P26="",Q26=""),"",P26*Q26)</f>
        <v/>
      </c>
      <c r="S26" s="5">
        <f>IF(R26="","",IF(R26&gt;=16,"Critical",IF(R26&gt;=10,"High",IF(R26&gt;=5,"Medium","Low"))))</f>
        <v/>
      </c>
      <c r="T26" s="5" t="n"/>
      <c r="U26" s="5" t="n"/>
      <c r="V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>
        <f>IF(OR(H27="",I27=""),"",H27*I27)</f>
        <v/>
      </c>
      <c r="K27" s="5">
        <f>IF(J27="","",IF(J27&gt;=16,"Critical",IF(J27&gt;=10,"High",IF(J27&gt;=5,"Medium","Low"))))</f>
        <v/>
      </c>
      <c r="L27" s="5" t="n"/>
      <c r="M27" s="5" t="n"/>
      <c r="N27" s="5" t="n"/>
      <c r="O27" s="5" t="n"/>
      <c r="P27" s="5" t="n"/>
      <c r="Q27" s="5" t="n"/>
      <c r="R27" s="5">
        <f>IF(OR(P27="",Q27=""),"",P27*Q27)</f>
        <v/>
      </c>
      <c r="S27" s="5">
        <f>IF(R27="","",IF(R27&gt;=16,"Critical",IF(R27&gt;=10,"High",IF(R27&gt;=5,"Medium","Low"))))</f>
        <v/>
      </c>
      <c r="T27" s="5" t="n"/>
      <c r="U27" s="5" t="n"/>
      <c r="V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>
        <f>IF(OR(H28="",I28=""),"",H28*I28)</f>
        <v/>
      </c>
      <c r="K28" s="5">
        <f>IF(J28="","",IF(J28&gt;=16,"Critical",IF(J28&gt;=10,"High",IF(J28&gt;=5,"Medium","Low"))))</f>
        <v/>
      </c>
      <c r="L28" s="5" t="n"/>
      <c r="M28" s="5" t="n"/>
      <c r="N28" s="5" t="n"/>
      <c r="O28" s="5" t="n"/>
      <c r="P28" s="5" t="n"/>
      <c r="Q28" s="5" t="n"/>
      <c r="R28" s="5">
        <f>IF(OR(P28="",Q28=""),"",P28*Q28)</f>
        <v/>
      </c>
      <c r="S28" s="5">
        <f>IF(R28="","",IF(R28&gt;=16,"Critical",IF(R28&gt;=10,"High",IF(R28&gt;=5,"Medium","Low"))))</f>
        <v/>
      </c>
      <c r="T28" s="5" t="n"/>
      <c r="U28" s="5" t="n"/>
      <c r="V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>
        <f>IF(OR(H29="",I29=""),"",H29*I29)</f>
        <v/>
      </c>
      <c r="K29" s="5">
        <f>IF(J29="","",IF(J29&gt;=16,"Critical",IF(J29&gt;=10,"High",IF(J29&gt;=5,"Medium","Low"))))</f>
        <v/>
      </c>
      <c r="L29" s="5" t="n"/>
      <c r="M29" s="5" t="n"/>
      <c r="N29" s="5" t="n"/>
      <c r="O29" s="5" t="n"/>
      <c r="P29" s="5" t="n"/>
      <c r="Q29" s="5" t="n"/>
      <c r="R29" s="5">
        <f>IF(OR(P29="",Q29=""),"",P29*Q29)</f>
        <v/>
      </c>
      <c r="S29" s="5">
        <f>IF(R29="","",IF(R29&gt;=16,"Critical",IF(R29&gt;=10,"High",IF(R29&gt;=5,"Medium","Low"))))</f>
        <v/>
      </c>
      <c r="T29" s="5" t="n"/>
      <c r="U29" s="5" t="n"/>
      <c r="V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>
        <f>IF(OR(H30="",I30=""),"",H30*I30)</f>
        <v/>
      </c>
      <c r="K30" s="5">
        <f>IF(J30="","",IF(J30&gt;=16,"Critical",IF(J30&gt;=10,"High",IF(J30&gt;=5,"Medium","Low"))))</f>
        <v/>
      </c>
      <c r="L30" s="5" t="n"/>
      <c r="M30" s="5" t="n"/>
      <c r="N30" s="5" t="n"/>
      <c r="O30" s="5" t="n"/>
      <c r="P30" s="5" t="n"/>
      <c r="Q30" s="5" t="n"/>
      <c r="R30" s="5">
        <f>IF(OR(P30="",Q30=""),"",P30*Q30)</f>
        <v/>
      </c>
      <c r="S30" s="5">
        <f>IF(R30="","",IF(R30&gt;=16,"Critical",IF(R30&gt;=10,"High",IF(R30&gt;=5,"Medium","Low"))))</f>
        <v/>
      </c>
      <c r="T30" s="5" t="n"/>
      <c r="U30" s="5" t="n"/>
      <c r="V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>
        <f>IF(OR(H31="",I31=""),"",H31*I31)</f>
        <v/>
      </c>
      <c r="K31" s="5">
        <f>IF(J31="","",IF(J31&gt;=16,"Critical",IF(J31&gt;=10,"High",IF(J31&gt;=5,"Medium","Low"))))</f>
        <v/>
      </c>
      <c r="L31" s="5" t="n"/>
      <c r="M31" s="5" t="n"/>
      <c r="N31" s="5" t="n"/>
      <c r="O31" s="5" t="n"/>
      <c r="P31" s="5" t="n"/>
      <c r="Q31" s="5" t="n"/>
      <c r="R31" s="5">
        <f>IF(OR(P31="",Q31=""),"",P31*Q31)</f>
        <v/>
      </c>
      <c r="S31" s="5">
        <f>IF(R31="","",IF(R31&gt;=16,"Critical",IF(R31&gt;=10,"High",IF(R31&gt;=5,"Medium","Low"))))</f>
        <v/>
      </c>
      <c r="T31" s="5" t="n"/>
      <c r="U31" s="5" t="n"/>
      <c r="V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>
        <f>IF(OR(H32="",I32=""),"",H32*I32)</f>
        <v/>
      </c>
      <c r="K32" s="5">
        <f>IF(J32="","",IF(J32&gt;=16,"Critical",IF(J32&gt;=10,"High",IF(J32&gt;=5,"Medium","Low"))))</f>
        <v/>
      </c>
      <c r="L32" s="5" t="n"/>
      <c r="M32" s="5" t="n"/>
      <c r="N32" s="5" t="n"/>
      <c r="O32" s="5" t="n"/>
      <c r="P32" s="5" t="n"/>
      <c r="Q32" s="5" t="n"/>
      <c r="R32" s="5">
        <f>IF(OR(P32="",Q32=""),"",P32*Q32)</f>
        <v/>
      </c>
      <c r="S32" s="5">
        <f>IF(R32="","",IF(R32&gt;=16,"Critical",IF(R32&gt;=10,"High",IF(R32&gt;=5,"Medium","Low"))))</f>
        <v/>
      </c>
      <c r="T32" s="5" t="n"/>
      <c r="U32" s="5" t="n"/>
      <c r="V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>
        <f>IF(OR(H33="",I33=""),"",H33*I33)</f>
        <v/>
      </c>
      <c r="K33" s="5">
        <f>IF(J33="","",IF(J33&gt;=16,"Critical",IF(J33&gt;=10,"High",IF(J33&gt;=5,"Medium","Low"))))</f>
        <v/>
      </c>
      <c r="L33" s="5" t="n"/>
      <c r="M33" s="5" t="n"/>
      <c r="N33" s="5" t="n"/>
      <c r="O33" s="5" t="n"/>
      <c r="P33" s="5" t="n"/>
      <c r="Q33" s="5" t="n"/>
      <c r="R33" s="5">
        <f>IF(OR(P33="",Q33=""),"",P33*Q33)</f>
        <v/>
      </c>
      <c r="S33" s="5">
        <f>IF(R33="","",IF(R33&gt;=16,"Critical",IF(R33&gt;=10,"High",IF(R33&gt;=5,"Medium","Low"))))</f>
        <v/>
      </c>
      <c r="T33" s="5" t="n"/>
      <c r="U33" s="5" t="n"/>
      <c r="V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>
        <f>IF(OR(H34="",I34=""),"",H34*I34)</f>
        <v/>
      </c>
      <c r="K34" s="5">
        <f>IF(J34="","",IF(J34&gt;=16,"Critical",IF(J34&gt;=10,"High",IF(J34&gt;=5,"Medium","Low"))))</f>
        <v/>
      </c>
      <c r="L34" s="5" t="n"/>
      <c r="M34" s="5" t="n"/>
      <c r="N34" s="5" t="n"/>
      <c r="O34" s="5" t="n"/>
      <c r="P34" s="5" t="n"/>
      <c r="Q34" s="5" t="n"/>
      <c r="R34" s="5">
        <f>IF(OR(P34="",Q34=""),"",P34*Q34)</f>
        <v/>
      </c>
      <c r="S34" s="5">
        <f>IF(R34="","",IF(R34&gt;=16,"Critical",IF(R34&gt;=10,"High",IF(R34&gt;=5,"Medium","Low"))))</f>
        <v/>
      </c>
      <c r="T34" s="5" t="n"/>
      <c r="U34" s="5" t="n"/>
      <c r="V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>
        <f>IF(OR(H35="",I35=""),"",H35*I35)</f>
        <v/>
      </c>
      <c r="K35" s="5">
        <f>IF(J35="","",IF(J35&gt;=16,"Critical",IF(J35&gt;=10,"High",IF(J35&gt;=5,"Medium","Low"))))</f>
        <v/>
      </c>
      <c r="L35" s="5" t="n"/>
      <c r="M35" s="5" t="n"/>
      <c r="N35" s="5" t="n"/>
      <c r="O35" s="5" t="n"/>
      <c r="P35" s="5" t="n"/>
      <c r="Q35" s="5" t="n"/>
      <c r="R35" s="5">
        <f>IF(OR(P35="",Q35=""),"",P35*Q35)</f>
        <v/>
      </c>
      <c r="S35" s="5">
        <f>IF(R35="","",IF(R35&gt;=16,"Critical",IF(R35&gt;=10,"High",IF(R35&gt;=5,"Medium","Low"))))</f>
        <v/>
      </c>
      <c r="T35" s="5" t="n"/>
      <c r="U35" s="5" t="n"/>
      <c r="V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>
        <f>IF(OR(H36="",I36=""),"",H36*I36)</f>
        <v/>
      </c>
      <c r="K36" s="5">
        <f>IF(J36="","",IF(J36&gt;=16,"Critical",IF(J36&gt;=10,"High",IF(J36&gt;=5,"Medium","Low"))))</f>
        <v/>
      </c>
      <c r="L36" s="5" t="n"/>
      <c r="M36" s="5" t="n"/>
      <c r="N36" s="5" t="n"/>
      <c r="O36" s="5" t="n"/>
      <c r="P36" s="5" t="n"/>
      <c r="Q36" s="5" t="n"/>
      <c r="R36" s="5">
        <f>IF(OR(P36="",Q36=""),"",P36*Q36)</f>
        <v/>
      </c>
      <c r="S36" s="5">
        <f>IF(R36="","",IF(R36&gt;=16,"Critical",IF(R36&gt;=10,"High",IF(R36&gt;=5,"Medium","Low"))))</f>
        <v/>
      </c>
      <c r="T36" s="5" t="n"/>
      <c r="U36" s="5" t="n"/>
      <c r="V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>
        <f>IF(OR(H37="",I37=""),"",H37*I37)</f>
        <v/>
      </c>
      <c r="K37" s="5">
        <f>IF(J37="","",IF(J37&gt;=16,"Critical",IF(J37&gt;=10,"High",IF(J37&gt;=5,"Medium","Low"))))</f>
        <v/>
      </c>
      <c r="L37" s="5" t="n"/>
      <c r="M37" s="5" t="n"/>
      <c r="N37" s="5" t="n"/>
      <c r="O37" s="5" t="n"/>
      <c r="P37" s="5" t="n"/>
      <c r="Q37" s="5" t="n"/>
      <c r="R37" s="5">
        <f>IF(OR(P37="",Q37=""),"",P37*Q37)</f>
        <v/>
      </c>
      <c r="S37" s="5">
        <f>IF(R37="","",IF(R37&gt;=16,"Critical",IF(R37&gt;=10,"High",IF(R37&gt;=5,"Medium","Low"))))</f>
        <v/>
      </c>
      <c r="T37" s="5" t="n"/>
      <c r="U37" s="5" t="n"/>
      <c r="V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>
        <f>IF(OR(H38="",I38=""),"",H38*I38)</f>
        <v/>
      </c>
      <c r="K38" s="5">
        <f>IF(J38="","",IF(J38&gt;=16,"Critical",IF(J38&gt;=10,"High",IF(J38&gt;=5,"Medium","Low"))))</f>
        <v/>
      </c>
      <c r="L38" s="5" t="n"/>
      <c r="M38" s="5" t="n"/>
      <c r="N38" s="5" t="n"/>
      <c r="O38" s="5" t="n"/>
      <c r="P38" s="5" t="n"/>
      <c r="Q38" s="5" t="n"/>
      <c r="R38" s="5">
        <f>IF(OR(P38="",Q38=""),"",P38*Q38)</f>
        <v/>
      </c>
      <c r="S38" s="5">
        <f>IF(R38="","",IF(R38&gt;=16,"Critical",IF(R38&gt;=10,"High",IF(R38&gt;=5,"Medium","Low"))))</f>
        <v/>
      </c>
      <c r="T38" s="5" t="n"/>
      <c r="U38" s="5" t="n"/>
      <c r="V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>
        <f>IF(OR(H39="",I39=""),"",H39*I39)</f>
        <v/>
      </c>
      <c r="K39" s="5">
        <f>IF(J39="","",IF(J39&gt;=16,"Critical",IF(J39&gt;=10,"High",IF(J39&gt;=5,"Medium","Low"))))</f>
        <v/>
      </c>
      <c r="L39" s="5" t="n"/>
      <c r="M39" s="5" t="n"/>
      <c r="N39" s="5" t="n"/>
      <c r="O39" s="5" t="n"/>
      <c r="P39" s="5" t="n"/>
      <c r="Q39" s="5" t="n"/>
      <c r="R39" s="5">
        <f>IF(OR(P39="",Q39=""),"",P39*Q39)</f>
        <v/>
      </c>
      <c r="S39" s="5">
        <f>IF(R39="","",IF(R39&gt;=16,"Critical",IF(R39&gt;=10,"High",IF(R39&gt;=5,"Medium","Low"))))</f>
        <v/>
      </c>
      <c r="T39" s="5" t="n"/>
      <c r="U39" s="5" t="n"/>
      <c r="V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>
        <f>IF(OR(H40="",I40=""),"",H40*I40)</f>
        <v/>
      </c>
      <c r="K40" s="5">
        <f>IF(J40="","",IF(J40&gt;=16,"Critical",IF(J40&gt;=10,"High",IF(J40&gt;=5,"Medium","Low"))))</f>
        <v/>
      </c>
      <c r="L40" s="5" t="n"/>
      <c r="M40" s="5" t="n"/>
      <c r="N40" s="5" t="n"/>
      <c r="O40" s="5" t="n"/>
      <c r="P40" s="5" t="n"/>
      <c r="Q40" s="5" t="n"/>
      <c r="R40" s="5">
        <f>IF(OR(P40="",Q40=""),"",P40*Q40)</f>
        <v/>
      </c>
      <c r="S40" s="5">
        <f>IF(R40="","",IF(R40&gt;=16,"Critical",IF(R40&gt;=10,"High",IF(R40&gt;=5,"Medium","Low"))))</f>
        <v/>
      </c>
      <c r="T40" s="5" t="n"/>
      <c r="U40" s="5" t="n"/>
      <c r="V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>
        <f>IF(OR(H41="",I41=""),"",H41*I41)</f>
        <v/>
      </c>
      <c r="K41" s="5">
        <f>IF(J41="","",IF(J41&gt;=16,"Critical",IF(J41&gt;=10,"High",IF(J41&gt;=5,"Medium","Low"))))</f>
        <v/>
      </c>
      <c r="L41" s="5" t="n"/>
      <c r="M41" s="5" t="n"/>
      <c r="N41" s="5" t="n"/>
      <c r="O41" s="5" t="n"/>
      <c r="P41" s="5" t="n"/>
      <c r="Q41" s="5" t="n"/>
      <c r="R41" s="5">
        <f>IF(OR(P41="",Q41=""),"",P41*Q41)</f>
        <v/>
      </c>
      <c r="S41" s="5">
        <f>IF(R41="","",IF(R41&gt;=16,"Critical",IF(R41&gt;=10,"High",IF(R41&gt;=5,"Medium","Low"))))</f>
        <v/>
      </c>
      <c r="T41" s="5" t="n"/>
      <c r="U41" s="5" t="n"/>
      <c r="V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>
        <f>IF(OR(H42="",I42=""),"",H42*I42)</f>
        <v/>
      </c>
      <c r="K42" s="5">
        <f>IF(J42="","",IF(J42&gt;=16,"Critical",IF(J42&gt;=10,"High",IF(J42&gt;=5,"Medium","Low"))))</f>
        <v/>
      </c>
      <c r="L42" s="5" t="n"/>
      <c r="M42" s="5" t="n"/>
      <c r="N42" s="5" t="n"/>
      <c r="O42" s="5" t="n"/>
      <c r="P42" s="5" t="n"/>
      <c r="Q42" s="5" t="n"/>
      <c r="R42" s="5">
        <f>IF(OR(P42="",Q42=""),"",P42*Q42)</f>
        <v/>
      </c>
      <c r="S42" s="5">
        <f>IF(R42="","",IF(R42&gt;=16,"Critical",IF(R42&gt;=10,"High",IF(R42&gt;=5,"Medium","Low"))))</f>
        <v/>
      </c>
      <c r="T42" s="5" t="n"/>
      <c r="U42" s="5" t="n"/>
      <c r="V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>
        <f>IF(OR(H43="",I43=""),"",H43*I43)</f>
        <v/>
      </c>
      <c r="K43" s="5">
        <f>IF(J43="","",IF(J43&gt;=16,"Critical",IF(J43&gt;=10,"High",IF(J43&gt;=5,"Medium","Low"))))</f>
        <v/>
      </c>
      <c r="L43" s="5" t="n"/>
      <c r="M43" s="5" t="n"/>
      <c r="N43" s="5" t="n"/>
      <c r="O43" s="5" t="n"/>
      <c r="P43" s="5" t="n"/>
      <c r="Q43" s="5" t="n"/>
      <c r="R43" s="5">
        <f>IF(OR(P43="",Q43=""),"",P43*Q43)</f>
        <v/>
      </c>
      <c r="S43" s="5">
        <f>IF(R43="","",IF(R43&gt;=16,"Critical",IF(R43&gt;=10,"High",IF(R43&gt;=5,"Medium","Low"))))</f>
        <v/>
      </c>
      <c r="T43" s="5" t="n"/>
      <c r="U43" s="5" t="n"/>
      <c r="V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>
        <f>IF(OR(H44="",I44=""),"",H44*I44)</f>
        <v/>
      </c>
      <c r="K44" s="5">
        <f>IF(J44="","",IF(J44&gt;=16,"Critical",IF(J44&gt;=10,"High",IF(J44&gt;=5,"Medium","Low"))))</f>
        <v/>
      </c>
      <c r="L44" s="5" t="n"/>
      <c r="M44" s="5" t="n"/>
      <c r="N44" s="5" t="n"/>
      <c r="O44" s="5" t="n"/>
      <c r="P44" s="5" t="n"/>
      <c r="Q44" s="5" t="n"/>
      <c r="R44" s="5">
        <f>IF(OR(P44="",Q44=""),"",P44*Q44)</f>
        <v/>
      </c>
      <c r="S44" s="5">
        <f>IF(R44="","",IF(R44&gt;=16,"Critical",IF(R44&gt;=10,"High",IF(R44&gt;=5,"Medium","Low"))))</f>
        <v/>
      </c>
      <c r="T44" s="5" t="n"/>
      <c r="U44" s="5" t="n"/>
      <c r="V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>
        <f>IF(OR(H45="",I45=""),"",H45*I45)</f>
        <v/>
      </c>
      <c r="K45" s="5">
        <f>IF(J45="","",IF(J45&gt;=16,"Critical",IF(J45&gt;=10,"High",IF(J45&gt;=5,"Medium","Low"))))</f>
        <v/>
      </c>
      <c r="L45" s="5" t="n"/>
      <c r="M45" s="5" t="n"/>
      <c r="N45" s="5" t="n"/>
      <c r="O45" s="5" t="n"/>
      <c r="P45" s="5" t="n"/>
      <c r="Q45" s="5" t="n"/>
      <c r="R45" s="5">
        <f>IF(OR(P45="",Q45=""),"",P45*Q45)</f>
        <v/>
      </c>
      <c r="S45" s="5">
        <f>IF(R45="","",IF(R45&gt;=16,"Critical",IF(R45&gt;=10,"High",IF(R45&gt;=5,"Medium","Low"))))</f>
        <v/>
      </c>
      <c r="T45" s="5" t="n"/>
      <c r="U45" s="5" t="n"/>
      <c r="V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>
        <f>IF(OR(H46="",I46=""),"",H46*I46)</f>
        <v/>
      </c>
      <c r="K46" s="5">
        <f>IF(J46="","",IF(J46&gt;=16,"Critical",IF(J46&gt;=10,"High",IF(J46&gt;=5,"Medium","Low"))))</f>
        <v/>
      </c>
      <c r="L46" s="5" t="n"/>
      <c r="M46" s="5" t="n"/>
      <c r="N46" s="5" t="n"/>
      <c r="O46" s="5" t="n"/>
      <c r="P46" s="5" t="n"/>
      <c r="Q46" s="5" t="n"/>
      <c r="R46" s="5">
        <f>IF(OR(P46="",Q46=""),"",P46*Q46)</f>
        <v/>
      </c>
      <c r="S46" s="5">
        <f>IF(R46="","",IF(R46&gt;=16,"Critical",IF(R46&gt;=10,"High",IF(R46&gt;=5,"Medium","Low"))))</f>
        <v/>
      </c>
      <c r="T46" s="5" t="n"/>
      <c r="U46" s="5" t="n"/>
      <c r="V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>
        <f>IF(OR(H47="",I47=""),"",H47*I47)</f>
        <v/>
      </c>
      <c r="K47" s="5">
        <f>IF(J47="","",IF(J47&gt;=16,"Critical",IF(J47&gt;=10,"High",IF(J47&gt;=5,"Medium","Low"))))</f>
        <v/>
      </c>
      <c r="L47" s="5" t="n"/>
      <c r="M47" s="5" t="n"/>
      <c r="N47" s="5" t="n"/>
      <c r="O47" s="5" t="n"/>
      <c r="P47" s="5" t="n"/>
      <c r="Q47" s="5" t="n"/>
      <c r="R47" s="5">
        <f>IF(OR(P47="",Q47=""),"",P47*Q47)</f>
        <v/>
      </c>
      <c r="S47" s="5">
        <f>IF(R47="","",IF(R47&gt;=16,"Critical",IF(R47&gt;=10,"High",IF(R47&gt;=5,"Medium","Low"))))</f>
        <v/>
      </c>
      <c r="T47" s="5" t="n"/>
      <c r="U47" s="5" t="n"/>
      <c r="V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>
        <f>IF(OR(H48="",I48=""),"",H48*I48)</f>
        <v/>
      </c>
      <c r="K48" s="5">
        <f>IF(J48="","",IF(J48&gt;=16,"Critical",IF(J48&gt;=10,"High",IF(J48&gt;=5,"Medium","Low"))))</f>
        <v/>
      </c>
      <c r="L48" s="5" t="n"/>
      <c r="M48" s="5" t="n"/>
      <c r="N48" s="5" t="n"/>
      <c r="O48" s="5" t="n"/>
      <c r="P48" s="5" t="n"/>
      <c r="Q48" s="5" t="n"/>
      <c r="R48" s="5">
        <f>IF(OR(P48="",Q48=""),"",P48*Q48)</f>
        <v/>
      </c>
      <c r="S48" s="5">
        <f>IF(R48="","",IF(R48&gt;=16,"Critical",IF(R48&gt;=10,"High",IF(R48&gt;=5,"Medium","Low"))))</f>
        <v/>
      </c>
      <c r="T48" s="5" t="n"/>
      <c r="U48" s="5" t="n"/>
      <c r="V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>
        <f>IF(OR(H49="",I49=""),"",H49*I49)</f>
        <v/>
      </c>
      <c r="K49" s="5">
        <f>IF(J49="","",IF(J49&gt;=16,"Critical",IF(J49&gt;=10,"High",IF(J49&gt;=5,"Medium","Low"))))</f>
        <v/>
      </c>
      <c r="L49" s="5" t="n"/>
      <c r="M49" s="5" t="n"/>
      <c r="N49" s="5" t="n"/>
      <c r="O49" s="5" t="n"/>
      <c r="P49" s="5" t="n"/>
      <c r="Q49" s="5" t="n"/>
      <c r="R49" s="5">
        <f>IF(OR(P49="",Q49=""),"",P49*Q49)</f>
        <v/>
      </c>
      <c r="S49" s="5">
        <f>IF(R49="","",IF(R49&gt;=16,"Critical",IF(R49&gt;=10,"High",IF(R49&gt;=5,"Medium","Low"))))</f>
        <v/>
      </c>
      <c r="T49" s="5" t="n"/>
      <c r="U49" s="5" t="n"/>
      <c r="V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>
        <f>IF(OR(H50="",I50=""),"",H50*I50)</f>
        <v/>
      </c>
      <c r="K50" s="5">
        <f>IF(J50="","",IF(J50&gt;=16,"Critical",IF(J50&gt;=10,"High",IF(J50&gt;=5,"Medium","Low"))))</f>
        <v/>
      </c>
      <c r="L50" s="5" t="n"/>
      <c r="M50" s="5" t="n"/>
      <c r="N50" s="5" t="n"/>
      <c r="O50" s="5" t="n"/>
      <c r="P50" s="5" t="n"/>
      <c r="Q50" s="5" t="n"/>
      <c r="R50" s="5">
        <f>IF(OR(P50="",Q50=""),"",P50*Q50)</f>
        <v/>
      </c>
      <c r="S50" s="5">
        <f>IF(R50="","",IF(R50&gt;=16,"Critical",IF(R50&gt;=10,"High",IF(R50&gt;=5,"Medium","Low"))))</f>
        <v/>
      </c>
      <c r="T50" s="5" t="n"/>
      <c r="U50" s="5" t="n"/>
      <c r="V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>
        <f>IF(OR(H51="",I51=""),"",H51*I51)</f>
        <v/>
      </c>
      <c r="K51" s="5">
        <f>IF(J51="","",IF(J51&gt;=16,"Critical",IF(J51&gt;=10,"High",IF(J51&gt;=5,"Medium","Low"))))</f>
        <v/>
      </c>
      <c r="L51" s="5" t="n"/>
      <c r="M51" s="5" t="n"/>
      <c r="N51" s="5" t="n"/>
      <c r="O51" s="5" t="n"/>
      <c r="P51" s="5" t="n"/>
      <c r="Q51" s="5" t="n"/>
      <c r="R51" s="5">
        <f>IF(OR(P51="",Q51=""),"",P51*Q51)</f>
        <v/>
      </c>
      <c r="S51" s="5">
        <f>IF(R51="","",IF(R51&gt;=16,"Critical",IF(R51&gt;=10,"High",IF(R51&gt;=5,"Medium","Low"))))</f>
        <v/>
      </c>
      <c r="T51" s="5" t="n"/>
      <c r="U51" s="5" t="n"/>
      <c r="V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>
        <f>IF(OR(H52="",I52=""),"",H52*I52)</f>
        <v/>
      </c>
      <c r="K52" s="5">
        <f>IF(J52="","",IF(J52&gt;=16,"Critical",IF(J52&gt;=10,"High",IF(J52&gt;=5,"Medium","Low"))))</f>
        <v/>
      </c>
      <c r="L52" s="5" t="n"/>
      <c r="M52" s="5" t="n"/>
      <c r="N52" s="5" t="n"/>
      <c r="O52" s="5" t="n"/>
      <c r="P52" s="5" t="n"/>
      <c r="Q52" s="5" t="n"/>
      <c r="R52" s="5">
        <f>IF(OR(P52="",Q52=""),"",P52*Q52)</f>
        <v/>
      </c>
      <c r="S52" s="5">
        <f>IF(R52="","",IF(R52&gt;=16,"Critical",IF(R52&gt;=10,"High",IF(R52&gt;=5,"Medium","Low"))))</f>
        <v/>
      </c>
      <c r="T52" s="5" t="n"/>
      <c r="U52" s="5" t="n"/>
      <c r="V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>
        <f>IF(OR(H53="",I53=""),"",H53*I53)</f>
        <v/>
      </c>
      <c r="K53" s="5">
        <f>IF(J53="","",IF(J53&gt;=16,"Critical",IF(J53&gt;=10,"High",IF(J53&gt;=5,"Medium","Low"))))</f>
        <v/>
      </c>
      <c r="L53" s="5" t="n"/>
      <c r="M53" s="5" t="n"/>
      <c r="N53" s="5" t="n"/>
      <c r="O53" s="5" t="n"/>
      <c r="P53" s="5" t="n"/>
      <c r="Q53" s="5" t="n"/>
      <c r="R53" s="5">
        <f>IF(OR(P53="",Q53=""),"",P53*Q53)</f>
        <v/>
      </c>
      <c r="S53" s="5">
        <f>IF(R53="","",IF(R53&gt;=16,"Critical",IF(R53&gt;=10,"High",IF(R53&gt;=5,"Medium","Low"))))</f>
        <v/>
      </c>
      <c r="T53" s="5" t="n"/>
      <c r="U53" s="5" t="n"/>
      <c r="V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>
        <f>IF(OR(H54="",I54=""),"",H54*I54)</f>
        <v/>
      </c>
      <c r="K54" s="5">
        <f>IF(J54="","",IF(J54&gt;=16,"Critical",IF(J54&gt;=10,"High",IF(J54&gt;=5,"Medium","Low"))))</f>
        <v/>
      </c>
      <c r="L54" s="5" t="n"/>
      <c r="M54" s="5" t="n"/>
      <c r="N54" s="5" t="n"/>
      <c r="O54" s="5" t="n"/>
      <c r="P54" s="5" t="n"/>
      <c r="Q54" s="5" t="n"/>
      <c r="R54" s="5">
        <f>IF(OR(P54="",Q54=""),"",P54*Q54)</f>
        <v/>
      </c>
      <c r="S54" s="5">
        <f>IF(R54="","",IF(R54&gt;=16,"Critical",IF(R54&gt;=10,"High",IF(R54&gt;=5,"Medium","Low"))))</f>
        <v/>
      </c>
      <c r="T54" s="5" t="n"/>
      <c r="U54" s="5" t="n"/>
      <c r="V54" s="5" t="n"/>
    </row>
  </sheetData>
  <autoFilter ref="A4:V54"/>
  <mergeCells count="1">
    <mergeCell ref="A2:V2"/>
  </mergeCells>
  <conditionalFormatting sqref="K5:K54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conditionalFormatting sqref="S5:S54">
    <cfRule type="cellIs" priority="5" operator="equal" dxfId="0">
      <formula>"Low"</formula>
    </cfRule>
    <cfRule type="cellIs" priority="6" operator="equal" dxfId="1">
      <formula>"Medium"</formula>
    </cfRule>
    <cfRule type="cellIs" priority="7" operator="equal" dxfId="2">
      <formula>"High"</formula>
    </cfRule>
    <cfRule type="cellIs" priority="8" operator="equal" dxfId="3">
      <formula>"Critical"</formula>
    </cfRule>
  </conditionalFormatting>
  <conditionalFormatting sqref="V5:V54">
    <cfRule type="cellIs" priority="9" operator="equal" dxfId="0">
      <formula>"Implemented"</formula>
    </cfRule>
    <cfRule type="cellIs" priority="10" operator="equal" dxfId="0">
      <formula>"Done"</formula>
    </cfRule>
    <cfRule type="cellIs" priority="11" operator="equal" dxfId="0">
      <formula>"Closed"</formula>
    </cfRule>
    <cfRule type="cellIs" priority="12" operator="equal" dxfId="0">
      <formula>"Yes"</formula>
    </cfRule>
    <cfRule type="cellIs" priority="13" operator="equal" dxfId="0">
      <formula>"Met"</formula>
    </cfRule>
    <cfRule type="cellIs" priority="14" operator="equal" dxfId="1">
      <formula>"Partially implemented"</formula>
    </cfRule>
    <cfRule type="cellIs" priority="15" operator="equal" dxfId="1">
      <formula>"Partial"</formula>
    </cfRule>
    <cfRule type="cellIs" priority="16" operator="equal" dxfId="1">
      <formula>"Done late"</formula>
    </cfRule>
    <cfRule type="cellIs" priority="17" operator="equal" dxfId="1">
      <formula>"In progress"</formula>
    </cfRule>
    <cfRule type="cellIs" priority="18" operator="equal" dxfId="1">
      <formula>"Open"</formula>
    </cfRule>
    <cfRule type="cellIs" priority="19" operator="equal" dxfId="1">
      <formula>"On track"</formula>
    </cfRule>
    <cfRule type="cellIs" priority="20" operator="equal" dxfId="4">
      <formula>"Planned"</formula>
    </cfRule>
    <cfRule type="cellIs" priority="21" operator="equal" dxfId="5">
      <formula>"Not started"</formula>
    </cfRule>
    <cfRule type="cellIs" priority="22" operator="equal" dxfId="2">
      <formula>"Not implemented"</formula>
    </cfRule>
    <cfRule type="cellIs" priority="23" operator="equal" dxfId="2">
      <formula>"No"</formula>
    </cfRule>
    <cfRule type="cellIs" priority="24" operator="equal" dxfId="2">
      <formula>"Overdue"</formula>
    </cfRule>
    <cfRule type="cellIs" priority="25" operator="equal" dxfId="2">
      <formula>"Not met"</formula>
    </cfRule>
    <cfRule type="cellIs" priority="26" operator="equal" dxfId="6">
      <formula>"Excluded"</formula>
    </cfRule>
  </conditionalFormatting>
  <dataValidations count="7">
    <dataValidation sqref="B5:B54" showDropDown="0" showInputMessage="0" showErrorMessage="0" allowBlank="1" errorTitle="Invalid value" error="Pick a value from the list." type="list">
      <formula1>"IS,AI"</formula1>
    </dataValidation>
    <dataValidation sqref="H5:H54" showDropDown="0" showInputMessage="0" showErrorMessage="0" allowBlank="1" errorTitle="Invalid value" error="Pick a value from the list." type="list">
      <formula1>"1,2,3,4,5"</formula1>
    </dataValidation>
    <dataValidation sqref="I5:I54" showDropDown="0" showInputMessage="0" showErrorMessage="0" allowBlank="1" errorTitle="Invalid value" error="Pick a value from the list." type="list">
      <formula1>"1,2,3,4,5"</formula1>
    </dataValidation>
    <dataValidation sqref="P5:P54" showDropDown="0" showInputMessage="0" showErrorMessage="0" allowBlank="1" errorTitle="Invalid value" error="Pick a value from the list." type="list">
      <formula1>"1,2,3,4,5"</formula1>
    </dataValidation>
    <dataValidation sqref="Q5:Q54" showDropDown="0" showInputMessage="0" showErrorMessage="0" allowBlank="1" errorTitle="Invalid value" error="Pick a value from the list." type="list">
      <formula1>"1,2,3,4,5"</formula1>
    </dataValidation>
    <dataValidation sqref="M5:M54" showDropDown="0" showInputMessage="0" showErrorMessage="0" allowBlank="1" errorTitle="Invalid value" error="Pick a value from the list." type="list">
      <formula1>"Modify,Avoid,Share,Retain"</formula1>
    </dataValidation>
    <dataValidation sqref="V5:V54" showDropDown="0" showInputMessage="0" showErrorMessage="0" allowBlank="1" errorTitle="Invalid value" error="Pick a value from the list." type="list">
      <formula1>"Open,Planned,In progress,Implemented,Closed"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24" customWidth="1" min="4" max="4"/>
    <col width="24" customWidth="1" min="5" max="5"/>
    <col width="12" customWidth="1" min="6" max="6"/>
    <col width="13" customWidth="1" min="7" max="7"/>
    <col width="12" customWidth="1" min="8" max="8"/>
    <col width="34" customWidth="1" min="9" max="9"/>
  </cols>
  <sheetData>
    <row r="1">
      <c r="A1" s="8" t="inlineStr">
        <is>
          <t>Risk Treatment Plan</t>
        </is>
      </c>
    </row>
    <row r="2" ht="30" customHeight="1">
      <c r="A2" s="3" t="inlineStr">
        <is>
          <t>Actions that put the planned controls in place. Each action belongs to a risk. 'Due status' calculates itself from the due date and status.</t>
        </is>
      </c>
    </row>
    <row r="4" ht="32" customHeight="1">
      <c r="A4" s="9" t="inlineStr">
        <is>
          <t>Action ID</t>
        </is>
      </c>
      <c r="B4" s="9" t="inlineStr">
        <is>
          <t>Risk ID</t>
        </is>
      </c>
      <c r="C4" s="9" t="inlineStr">
        <is>
          <t>Action</t>
        </is>
      </c>
      <c r="D4" s="9" t="inlineStr">
        <is>
          <t>Owner</t>
        </is>
      </c>
      <c r="E4" s="9" t="inlineStr">
        <is>
          <t>Control refs (27001; 42001)</t>
        </is>
      </c>
      <c r="F4" s="9" t="inlineStr">
        <is>
          <t>Due date</t>
        </is>
      </c>
      <c r="G4" s="9" t="inlineStr">
        <is>
          <t>Status</t>
        </is>
      </c>
      <c r="H4" s="9" t="inlineStr">
        <is>
          <t>Due status</t>
        </is>
      </c>
      <c r="I4" s="9" t="inlineStr">
        <is>
          <t>Evidence</t>
        </is>
      </c>
    </row>
    <row r="5">
      <c r="A5" s="5" t="inlineStr">
        <is>
          <t>TP-01</t>
        </is>
      </c>
      <c r="B5" s="5" t="inlineStr">
        <is>
          <t>RSK-AI-001</t>
        </is>
      </c>
      <c r="C5" s="5" t="inlineStr">
        <is>
          <t>Audit every image in the fine-tuning set against the consent ledger; remove unverified images and retrain</t>
        </is>
      </c>
      <c r="D5" s="5" t="inlineStr">
        <is>
          <t>[Data and ML Lead]</t>
        </is>
      </c>
      <c r="E5" s="5" t="inlineStr">
        <is>
          <t>5.32; A.7.3, A.7.5, A.4.3</t>
        </is>
      </c>
      <c r="F5" s="11" t="n">
        <v>46295</v>
      </c>
      <c r="G5" s="5" t="inlineStr">
        <is>
          <t>In progress</t>
        </is>
      </c>
      <c r="H5" s="5">
        <f>IF(F5="","",IF(G5="Done","Done",IF(F5&lt;TODAY(),"Overdue","On track")))</f>
        <v/>
      </c>
      <c r="I5" s="5" t="inlineStr">
        <is>
          <t>Audit report; dataset hash before/after</t>
        </is>
      </c>
    </row>
    <row r="6">
      <c r="A6" s="5" t="inlineStr">
        <is>
          <t>TP-02</t>
        </is>
      </c>
      <c r="B6" s="5" t="inlineStr">
        <is>
          <t>RSK-AI-001</t>
        </is>
      </c>
      <c r="C6" s="5" t="inlineStr">
        <is>
          <t>Automate opt-out propagation from Commons profile to the training-data exclusion list</t>
        </is>
      </c>
      <c r="D6" s="5" t="inlineStr">
        <is>
          <t>[Data and ML Lead]</t>
        </is>
      </c>
      <c r="E6" s="5" t="inlineStr">
        <is>
          <t>5.32; A.7.3, A.7.5, A.4.3</t>
        </is>
      </c>
      <c r="F6" s="11" t="n">
        <v>46371</v>
      </c>
      <c r="G6" s="5" t="inlineStr">
        <is>
          <t>In progress</t>
        </is>
      </c>
      <c r="H6" s="5">
        <f>IF(F6="","",IF(G6="Done","Done",IF(F6&lt;TODAY(),"Overdue","On track")))</f>
        <v/>
      </c>
      <c r="I6" s="5" t="inlineStr">
        <is>
          <t>Pipeline run log; test opt-out record</t>
        </is>
      </c>
    </row>
    <row r="7">
      <c r="A7" s="5" t="inlineStr">
        <is>
          <t>TP-03</t>
        </is>
      </c>
      <c r="B7" s="5" t="inlineStr">
        <is>
          <t>RSK-AI-002</t>
        </is>
      </c>
      <c r="C7" s="5" t="inlineStr">
        <is>
          <t>Add named-person likeness check before image delivery</t>
        </is>
      </c>
      <c r="D7" s="5" t="inlineStr">
        <is>
          <t>[Head of AI]</t>
        </is>
      </c>
      <c r="E7" s="5" t="inlineStr">
        <is>
          <t>8.16; A.6.2.4, A.6.2.6, A.10.3</t>
        </is>
      </c>
      <c r="F7" s="11" t="n">
        <v>46265</v>
      </c>
      <c r="G7" s="5" t="inlineStr">
        <is>
          <t>Done</t>
        </is>
      </c>
      <c r="H7" s="5">
        <f>IF(F7="","",IF(G7="Done","Done",IF(F7&lt;TODAY(),"Overdue","On track")))</f>
        <v/>
      </c>
      <c r="I7" s="5" t="inlineStr">
        <is>
          <t>Release record; red-team rerun 0/200 bypasses</t>
        </is>
      </c>
    </row>
    <row r="8">
      <c r="A8" s="5" t="inlineStr">
        <is>
          <t>TP-04</t>
        </is>
      </c>
      <c r="B8" s="5" t="inlineStr">
        <is>
          <t>RSK-AI-002</t>
        </is>
      </c>
      <c r="C8" s="5" t="inlineStr">
        <is>
          <t>Quarterly red-team of deepfake prompts with Artist Advisory Panel member</t>
        </is>
      </c>
      <c r="D8" s="5" t="inlineStr">
        <is>
          <t>[Head of AI]</t>
        </is>
      </c>
      <c r="E8" s="5" t="inlineStr">
        <is>
          <t>8.16; A.6.2.4, A.6.2.6, A.10.3</t>
        </is>
      </c>
      <c r="F8" s="11" t="n">
        <v>46387</v>
      </c>
      <c r="G8" s="5" t="inlineStr">
        <is>
          <t>In progress</t>
        </is>
      </c>
      <c r="H8" s="5">
        <f>IF(F8="","",IF(G8="Done","Done",IF(F8&lt;TODAY(),"Overdue","On track")))</f>
        <v/>
      </c>
      <c r="I8" s="5" t="inlineStr">
        <is>
          <t>Red-team reports</t>
        </is>
      </c>
    </row>
    <row r="9">
      <c r="A9" s="5" t="inlineStr">
        <is>
          <t>TP-05</t>
        </is>
      </c>
      <c r="B9" s="5" t="inlineStr">
        <is>
          <t>RSK-AI-003</t>
        </is>
      </c>
      <c r="C9" s="5" t="inlineStr">
        <is>
          <t>Add exposure-boost slot for new artists and automatic alert when ratio &lt; 0.8</t>
        </is>
      </c>
      <c r="D9" s="5" t="inlineStr">
        <is>
          <t>[Head of AI]</t>
        </is>
      </c>
      <c r="E9" s="5" t="inlineStr">
        <is>
          <t>A.5.2–A.5.4, A.6.2.4, A.8.2</t>
        </is>
      </c>
      <c r="F9" s="11" t="n">
        <v>46356</v>
      </c>
      <c r="G9" s="5" t="inlineStr">
        <is>
          <t>In progress</t>
        </is>
      </c>
      <c r="H9" s="5">
        <f>IF(F9="","",IF(G9="Done","Done",IF(F9&lt;TODAY(),"Overdue","On track")))</f>
        <v/>
      </c>
      <c r="I9" s="5" t="inlineStr">
        <is>
          <t>Model card update; alert config (OFI-2026-05)</t>
        </is>
      </c>
    </row>
    <row r="10">
      <c r="A10" s="5" t="inlineStr">
        <is>
          <t>TP-06</t>
        </is>
      </c>
      <c r="B10" s="5" t="inlineStr">
        <is>
          <t>RSK-AI-005</t>
        </is>
      </c>
      <c r="C10" s="5" t="inlineStr">
        <is>
          <t>CA-2026-004: model-change notice and version-pinning clause in SafeFrame agreement and AI supplier template</t>
        </is>
      </c>
      <c r="D10" s="5" t="inlineStr">
        <is>
          <t>[Privacy and Legal Lead]</t>
        </is>
      </c>
      <c r="E10" s="5" t="inlineStr">
        <is>
          <t>5.22; A.10.3, A.6.2.6</t>
        </is>
      </c>
      <c r="F10" s="11" t="n">
        <v>46356</v>
      </c>
      <c r="G10" s="5" t="inlineStr">
        <is>
          <t>In progress</t>
        </is>
      </c>
      <c r="H10" s="5">
        <f>IF(F10="","",IF(G10="Done","Done",IF(F10&lt;TODAY(),"Overdue","On track")))</f>
        <v/>
      </c>
      <c r="I10" s="5" t="inlineStr">
        <is>
          <t>Signed contract amendment</t>
        </is>
      </c>
    </row>
    <row r="11">
      <c r="A11" s="5" t="inlineStr">
        <is>
          <t>TP-07</t>
        </is>
      </c>
      <c r="B11" s="5" t="inlineStr">
        <is>
          <t>RSK-AI-005</t>
        </is>
      </c>
      <c r="C11" s="5" t="inlineStr">
        <is>
          <t>Run canary test set daily for 30 days after INC-2026-007, then weekly with alerting</t>
        </is>
      </c>
      <c r="D11" s="5" t="inlineStr">
        <is>
          <t>[Creative Director]</t>
        </is>
      </c>
      <c r="E11" s="5" t="inlineStr">
        <is>
          <t>5.22; A.10.3, A.6.2.6</t>
        </is>
      </c>
      <c r="F11" s="11" t="n">
        <v>46280</v>
      </c>
      <c r="G11" s="5" t="inlineStr">
        <is>
          <t>Done</t>
        </is>
      </c>
      <c r="H11" s="5">
        <f>IF(F11="","",IF(G11="Done","Done",IF(F11&lt;TODAY(),"Overdue","On track")))</f>
        <v/>
      </c>
      <c r="I11" s="5" t="inlineStr">
        <is>
          <t>Canary dashboard export</t>
        </is>
      </c>
    </row>
    <row r="12">
      <c r="A12" s="5" t="inlineStr">
        <is>
          <t>TP-08</t>
        </is>
      </c>
      <c r="B12" s="5" t="inlineStr">
        <is>
          <t>RSK-IS-001</t>
        </is>
      </c>
      <c r="C12" s="5" t="inlineStr">
        <is>
          <t>Account-level public-access block and IaC drift detection on all buckets</t>
        </is>
      </c>
      <c r="D12" s="5" t="inlineStr">
        <is>
          <t>[Platform Engineer]</t>
        </is>
      </c>
      <c r="E12" s="5" t="inlineStr">
        <is>
          <t>8.9, 8.12, 8.15, 5.23</t>
        </is>
      </c>
      <c r="F12" s="11" t="n">
        <v>46203</v>
      </c>
      <c r="G12" s="5" t="inlineStr">
        <is>
          <t>Done</t>
        </is>
      </c>
      <c r="H12" s="5">
        <f>IF(F12="","",IF(G12="Done","Done",IF(F12&lt;TODAY(),"Overdue","On track")))</f>
        <v/>
      </c>
      <c r="I12" s="5" t="inlineStr">
        <is>
          <t>Cloud config screenshot; CI policy check</t>
        </is>
      </c>
    </row>
    <row r="13">
      <c r="A13" s="5" t="inlineStr">
        <is>
          <t>TP-09</t>
        </is>
      </c>
      <c r="B13" s="5" t="inlineStr">
        <is>
          <t>RSK-IS-002</t>
        </is>
      </c>
      <c r="C13" s="5" t="inlineStr">
        <is>
          <t>Roll out passkeys / security keys to all staff and contractors</t>
        </is>
      </c>
      <c r="D13" s="5" t="inlineStr">
        <is>
          <t>[Security Lead]</t>
        </is>
      </c>
      <c r="E13" s="5" t="inlineStr">
        <is>
          <t>5.17, 8.2, 8.5, 6.3</t>
        </is>
      </c>
      <c r="F13" s="11" t="n">
        <v>46234</v>
      </c>
      <c r="G13" s="5" t="inlineStr">
        <is>
          <t>Done</t>
        </is>
      </c>
      <c r="H13" s="5">
        <f>IF(F13="","",IF(G13="Done","Done",IF(F13&lt;TODAY(),"Overdue","On track")))</f>
        <v/>
      </c>
      <c r="I13" s="5" t="inlineStr">
        <is>
          <t>Identity provider MFA report: 100% phishing-resistant</t>
        </is>
      </c>
    </row>
    <row r="14">
      <c r="A14" s="5" t="inlineStr">
        <is>
          <t>TP-10</t>
        </is>
      </c>
      <c r="B14" s="5" t="inlineStr">
        <is>
          <t>RSK-IS-002</t>
        </is>
      </c>
      <c r="C14" s="5" t="inlineStr">
        <is>
          <t>Just-in-time production access with approval and 4-hour expiry</t>
        </is>
      </c>
      <c r="D14" s="5" t="inlineStr">
        <is>
          <t>[Security Lead]</t>
        </is>
      </c>
      <c r="E14" s="5" t="inlineStr">
        <is>
          <t>5.17, 8.2, 8.5, 6.3</t>
        </is>
      </c>
      <c r="F14" s="11" t="n">
        <v>46265</v>
      </c>
      <c r="G14" s="5" t="inlineStr">
        <is>
          <t>Done</t>
        </is>
      </c>
      <c r="H14" s="5">
        <f>IF(F14="","",IF(G14="Done","Done",IF(F14&lt;TODAY(),"Overdue","On track")))</f>
        <v/>
      </c>
      <c r="I14" s="5" t="inlineStr">
        <is>
          <t>Access request log</t>
        </is>
      </c>
    </row>
    <row r="15">
      <c r="A15" s="5" t="inlineStr">
        <is>
          <t>TP-11</t>
        </is>
      </c>
      <c r="B15" s="5" t="inlineStr">
        <is>
          <t>RSK-IS-003</t>
        </is>
      </c>
      <c r="C15" s="5" t="inlineStr">
        <is>
          <t>Publish generative-AI rules in the Acceptable Use Policy and block unapproved AI tools on managed laptops</t>
        </is>
      </c>
      <c r="D15" s="5" t="inlineStr">
        <is>
          <t>[Security Lead]</t>
        </is>
      </c>
      <c r="E15" s="5" t="inlineStr">
        <is>
          <t>5.10, 6.3, 8.12; A.9.2, A.9.4</t>
        </is>
      </c>
      <c r="F15" s="11" t="n">
        <v>46326</v>
      </c>
      <c r="G15" s="5" t="inlineStr">
        <is>
          <t>In progress</t>
        </is>
      </c>
      <c r="H15" s="5">
        <f>IF(F15="","",IF(G15="Done","Done",IF(F15&lt;TODAY(),"Overdue","On track")))</f>
        <v/>
      </c>
      <c r="I15" s="5" t="inlineStr">
        <is>
          <t>IMS-POL-005 v2; web-filter rule</t>
        </is>
      </c>
    </row>
    <row r="16">
      <c r="A16" s="5" t="inlineStr">
        <is>
          <t>TP-12</t>
        </is>
      </c>
      <c r="B16" s="5" t="inlineStr">
        <is>
          <t>RSK-IS-005</t>
        </is>
      </c>
      <c r="C16" s="5" t="inlineStr">
        <is>
          <t>Patch SLA in CI: build fails on critical vulnerabilities older than 7 days</t>
        </is>
      </c>
      <c r="D16" s="5" t="inlineStr">
        <is>
          <t>[CTO]</t>
        </is>
      </c>
      <c r="E16" s="5" t="inlineStr">
        <is>
          <t>8.8, 8.25, 8.28, 8.29</t>
        </is>
      </c>
      <c r="F16" s="11" t="n">
        <v>46310</v>
      </c>
      <c r="G16" s="5" t="inlineStr">
        <is>
          <t>In progress</t>
        </is>
      </c>
      <c r="H16" s="5">
        <f>IF(F16="","",IF(G16="Done","Done",IF(F16&lt;TODAY(),"Overdue","On track")))</f>
        <v/>
      </c>
      <c r="I16" s="5" t="inlineStr">
        <is>
          <t>CI policy; vulnerability age report</t>
        </is>
      </c>
    </row>
    <row r="17">
      <c r="A17" s="5" t="inlineStr">
        <is>
          <t>TP-13</t>
        </is>
      </c>
      <c r="B17" s="5" t="inlineStr">
        <is>
          <t>RSK-IS-006</t>
        </is>
      </c>
      <c r="C17" s="5" t="inlineStr">
        <is>
          <t>Route all contractor onboarding/offboarding through People Ops with automatic deprovisioning (see CA-2026-005)</t>
        </is>
      </c>
      <c r="D17" s="5" t="inlineStr">
        <is>
          <t>[People and Operations Lead]</t>
        </is>
      </c>
      <c r="E17" s="5" t="inlineStr">
        <is>
          <t>5.11, 5.18, 6.5</t>
        </is>
      </c>
      <c r="F17" s="11" t="n">
        <v>46326</v>
      </c>
      <c r="G17" s="5" t="inlineStr">
        <is>
          <t>In progress</t>
        </is>
      </c>
      <c r="H17" s="5">
        <f>IF(F17="","",IF(G17="Done","Done",IF(F17&lt;TODAY(),"Overdue","On track")))</f>
        <v/>
      </c>
      <c r="I17" s="5" t="inlineStr">
        <is>
          <t>Checklist; SSO deprovision log</t>
        </is>
      </c>
    </row>
    <row r="18">
      <c r="A18" s="5" t="inlineStr">
        <is>
          <t>TP-14</t>
        </is>
      </c>
      <c r="B18" s="5" t="inlineStr">
        <is>
          <t>RSK-IS-008</t>
        </is>
      </c>
      <c r="C18" s="5" t="inlineStr">
        <is>
          <t>Set spend limits and anomaly alerts on all model-provider accounts</t>
        </is>
      </c>
      <c r="D18" s="5" t="inlineStr">
        <is>
          <t>[Platform Engineer]</t>
        </is>
      </c>
      <c r="E18" s="5" t="inlineStr">
        <is>
          <t>5.17, 8.12, 8.16, 8.24; A.4.4</t>
        </is>
      </c>
      <c r="F18" s="11" t="n">
        <v>46295</v>
      </c>
      <c r="G18" s="5" t="inlineStr">
        <is>
          <t>In progress</t>
        </is>
      </c>
      <c r="H18" s="5">
        <f>IF(F18="","",IF(G18="Done","Done",IF(F18&lt;TODAY(),"Overdue","On track")))</f>
        <v/>
      </c>
      <c r="I18" s="5" t="inlineStr">
        <is>
          <t>Provider console settings</t>
        </is>
      </c>
    </row>
    <row r="19">
      <c r="A19" s="5" t="inlineStr">
        <is>
          <t>TP-15</t>
        </is>
      </c>
      <c r="B19" s="5" t="inlineStr">
        <is>
          <t>RSK-AI-008</t>
        </is>
      </c>
      <c r="C19" s="5" t="inlineStr">
        <is>
          <t>Add drift metric (population stability index) to monthly ArtistMatch report</t>
        </is>
      </c>
      <c r="D19" s="5" t="inlineStr">
        <is>
          <t>[Data and ML Lead]</t>
        </is>
      </c>
      <c r="E19" s="5" t="inlineStr">
        <is>
          <t>A.6.2.6, A.6.2.8</t>
        </is>
      </c>
      <c r="F19" s="11" t="n">
        <v>46418</v>
      </c>
      <c r="G19" s="5" t="inlineStr">
        <is>
          <t>Not started</t>
        </is>
      </c>
      <c r="H19" s="5">
        <f>IF(F19="","",IF(G19="Done","Done",IF(F19&lt;TODAY(),"Overdue","On track")))</f>
        <v/>
      </c>
      <c r="I19" s="5" t="inlineStr">
        <is>
          <t>Monitoring dashboard</t>
        </is>
      </c>
    </row>
    <row r="20">
      <c r="A20" s="5" t="inlineStr">
        <is>
          <t>TP-16</t>
        </is>
      </c>
      <c r="B20" s="5" t="inlineStr">
        <is>
          <t>RSK-AI-010</t>
        </is>
      </c>
      <c r="C20" s="5" t="inlineStr">
        <is>
          <t>Update customer terms with AI-disclosure duties and in-app reminder at export</t>
        </is>
      </c>
      <c r="D20" s="5" t="inlineStr">
        <is>
          <t>[Privacy and Legal Lead]</t>
        </is>
      </c>
      <c r="E20" s="5" t="inlineStr">
        <is>
          <t>5.31; A.8.2, A.9.4, A.10.4</t>
        </is>
      </c>
      <c r="F20" s="11" t="n">
        <v>46387</v>
      </c>
      <c r="G20" s="5" t="inlineStr">
        <is>
          <t>Not started</t>
        </is>
      </c>
      <c r="H20" s="5">
        <f>IF(F20="","",IF(G20="Done","Done",IF(F20&lt;TODAY(),"Overdue","On track")))</f>
        <v/>
      </c>
      <c r="I20" s="5" t="inlineStr">
        <is>
          <t>Terms v4; UI release note</t>
        </is>
      </c>
    </row>
    <row r="21">
      <c r="A21" s="10" t="inlineStr">
        <is>
          <t>[TP-xx]</t>
        </is>
      </c>
      <c r="B21" s="10" t="inlineStr">
        <is>
          <t>[RSK-..]</t>
        </is>
      </c>
      <c r="C21" s="10" t="inlineStr">
        <is>
          <t>[what will be done]</t>
        </is>
      </c>
      <c r="D21" s="10" t="inlineStr">
        <is>
          <t>[owner]</t>
        </is>
      </c>
      <c r="E21" s="10" t="inlineStr">
        <is>
          <t>[Annex A refs]</t>
        </is>
      </c>
      <c r="F21" s="10" t="inlineStr">
        <is>
          <t>[due date]</t>
        </is>
      </c>
      <c r="G21" s="5" t="inlineStr">
        <is>
          <t>Not started</t>
        </is>
      </c>
      <c r="H21" s="5">
        <f>IF(F21="","",IF(G21="Done","Done",IF(F21&lt;TODAY(),"Overdue","On track")))</f>
        <v/>
      </c>
      <c r="I21" s="10" t="inlineStr">
        <is>
          <t>[where the proof will be]</t>
        </is>
      </c>
    </row>
    <row r="22">
      <c r="A22" s="5" t="n"/>
      <c r="B22" s="5" t="n"/>
      <c r="C22" s="5" t="n"/>
      <c r="D22" s="5" t="n"/>
      <c r="E22" s="5" t="n"/>
      <c r="F22" s="5" t="n"/>
      <c r="G22" s="5" t="n"/>
      <c r="H22" s="5">
        <f>IF(F22="","",IF(G22="Done","Done",IF(F22&lt;TODAY(),"Overdue","On track")))</f>
        <v/>
      </c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>
        <f>IF(F23="","",IF(G23="Done","Done",IF(F23&lt;TODAY(),"Overdue","On track")))</f>
        <v/>
      </c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>
        <f>IF(F24="","",IF(G24="Done","Done",IF(F24&lt;TODAY(),"Overdue","On track")))</f>
        <v/>
      </c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>
        <f>IF(F25="","",IF(G25="Done","Done",IF(F25&lt;TODAY(),"Overdue","On track")))</f>
        <v/>
      </c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>
        <f>IF(F26="","",IF(G26="Done","Done",IF(F26&lt;TODAY(),"Overdue","On track")))</f>
        <v/>
      </c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>
        <f>IF(F27="","",IF(G27="Done","Done",IF(F27&lt;TODAY(),"Overdue","On track")))</f>
        <v/>
      </c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>
        <f>IF(F28="","",IF(G28="Done","Done",IF(F28&lt;TODAY(),"Overdue","On track")))</f>
        <v/>
      </c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>
        <f>IF(F29="","",IF(G29="Done","Done",IF(F29&lt;TODAY(),"Overdue","On track")))</f>
        <v/>
      </c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>
        <f>IF(F30="","",IF(G30="Done","Done",IF(F30&lt;TODAY(),"Overdue","On track")))</f>
        <v/>
      </c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>
        <f>IF(F31="","",IF(G31="Done","Done",IF(F31&lt;TODAY(),"Overdue","On track")))</f>
        <v/>
      </c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>
        <f>IF(F32="","",IF(G32="Done","Done",IF(F32&lt;TODAY(),"Overdue","On track")))</f>
        <v/>
      </c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>
        <f>IF(F33="","",IF(G33="Done","Done",IF(F33&lt;TODAY(),"Overdue","On track")))</f>
        <v/>
      </c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>
        <f>IF(F34="","",IF(G34="Done","Done",IF(F34&lt;TODAY(),"Overdue","On track")))</f>
        <v/>
      </c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>
        <f>IF(F35="","",IF(G35="Done","Done",IF(F35&lt;TODAY(),"Overdue","On track")))</f>
        <v/>
      </c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>
        <f>IF(F36="","",IF(G36="Done","Done",IF(F36&lt;TODAY(),"Overdue","On track")))</f>
        <v/>
      </c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>
        <f>IF(F37="","",IF(G37="Done","Done",IF(F37&lt;TODAY(),"Overdue","On track")))</f>
        <v/>
      </c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>
        <f>IF(F38="","",IF(G38="Done","Done",IF(F38&lt;TODAY(),"Overdue","On track")))</f>
        <v/>
      </c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>
        <f>IF(F39="","",IF(G39="Done","Done",IF(F39&lt;TODAY(),"Overdue","On track")))</f>
        <v/>
      </c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>
        <f>IF(F40="","",IF(G40="Done","Done",IF(F40&lt;TODAY(),"Overdue","On track")))</f>
        <v/>
      </c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>
        <f>IF(F41="","",IF(G41="Done","Done",IF(F41&lt;TODAY(),"Overdue","On track")))</f>
        <v/>
      </c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>
        <f>IF(F42="","",IF(G42="Done","Done",IF(F42&lt;TODAY(),"Overdue","On track")))</f>
        <v/>
      </c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>
        <f>IF(F43="","",IF(G43="Done","Done",IF(F43&lt;TODAY(),"Overdue","On track")))</f>
        <v/>
      </c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>
        <f>IF(F44="","",IF(G44="Done","Done",IF(F44&lt;TODAY(),"Overdue","On track")))</f>
        <v/>
      </c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>
        <f>IF(F45="","",IF(G45="Done","Done",IF(F45&lt;TODAY(),"Overdue","On track")))</f>
        <v/>
      </c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>
        <f>IF(F46="","",IF(G46="Done","Done",IF(F46&lt;TODAY(),"Overdue","On track")))</f>
        <v/>
      </c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>
        <f>IF(F47="","",IF(G47="Done","Done",IF(F47&lt;TODAY(),"Overdue","On track")))</f>
        <v/>
      </c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>
        <f>IF(F48="","",IF(G48="Done","Done",IF(F48&lt;TODAY(),"Overdue","On track")))</f>
        <v/>
      </c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>
        <f>IF(F49="","",IF(G49="Done","Done",IF(F49&lt;TODAY(),"Overdue","On track")))</f>
        <v/>
      </c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>
        <f>IF(F50="","",IF(G50="Done","Done",IF(F50&lt;TODAY(),"Overdue","On track")))</f>
        <v/>
      </c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>
        <f>IF(F51="","",IF(G51="Done","Done",IF(F51&lt;TODAY(),"Overdue","On track")))</f>
        <v/>
      </c>
      <c r="I51" s="5" t="n"/>
    </row>
  </sheetData>
  <autoFilter ref="A4:I51"/>
  <mergeCells count="1">
    <mergeCell ref="A2:I2"/>
  </mergeCells>
  <conditionalFormatting sqref="G5:G51">
    <cfRule type="cellIs" priority="1" operator="equal" dxfId="0">
      <formula>"Implemented"</formula>
    </cfRule>
    <cfRule type="cellIs" priority="2" operator="equal" dxfId="0">
      <formula>"Done"</formula>
    </cfRule>
    <cfRule type="cellIs" priority="3" operator="equal" dxfId="0">
      <formula>"Closed"</formula>
    </cfRule>
    <cfRule type="cellIs" priority="4" operator="equal" dxfId="0">
      <formula>"Yes"</formula>
    </cfRule>
    <cfRule type="cellIs" priority="5" operator="equal" dxfId="0">
      <formula>"Met"</formula>
    </cfRule>
    <cfRule type="cellIs" priority="6" operator="equal" dxfId="1">
      <formula>"Partially implemented"</formula>
    </cfRule>
    <cfRule type="cellIs" priority="7" operator="equal" dxfId="1">
      <formula>"Partial"</formula>
    </cfRule>
    <cfRule type="cellIs" priority="8" operator="equal" dxfId="1">
      <formula>"Done late"</formula>
    </cfRule>
    <cfRule type="cellIs" priority="9" operator="equal" dxfId="1">
      <formula>"In progress"</formula>
    </cfRule>
    <cfRule type="cellIs" priority="10" operator="equal" dxfId="1">
      <formula>"Open"</formula>
    </cfRule>
    <cfRule type="cellIs" priority="11" operator="equal" dxfId="1">
      <formula>"On track"</formula>
    </cfRule>
    <cfRule type="cellIs" priority="12" operator="equal" dxfId="4">
      <formula>"Planned"</formula>
    </cfRule>
    <cfRule type="cellIs" priority="13" operator="equal" dxfId="5">
      <formula>"Not started"</formula>
    </cfRule>
    <cfRule type="cellIs" priority="14" operator="equal" dxfId="2">
      <formula>"Not implemented"</formula>
    </cfRule>
    <cfRule type="cellIs" priority="15" operator="equal" dxfId="2">
      <formula>"No"</formula>
    </cfRule>
    <cfRule type="cellIs" priority="16" operator="equal" dxfId="2">
      <formula>"Overdue"</formula>
    </cfRule>
    <cfRule type="cellIs" priority="17" operator="equal" dxfId="2">
      <formula>"Not met"</formula>
    </cfRule>
    <cfRule type="cellIs" priority="18" operator="equal" dxfId="6">
      <formula>"Excluded"</formula>
    </cfRule>
  </conditionalFormatting>
  <conditionalFormatting sqref="H5:H51">
    <cfRule type="cellIs" priority="19" operator="equal" dxfId="0">
      <formula>"Implemented"</formula>
    </cfRule>
    <cfRule type="cellIs" priority="20" operator="equal" dxfId="0">
      <formula>"Done"</formula>
    </cfRule>
    <cfRule type="cellIs" priority="21" operator="equal" dxfId="0">
      <formula>"Closed"</formula>
    </cfRule>
    <cfRule type="cellIs" priority="22" operator="equal" dxfId="0">
      <formula>"Yes"</formula>
    </cfRule>
    <cfRule type="cellIs" priority="23" operator="equal" dxfId="0">
      <formula>"Met"</formula>
    </cfRule>
    <cfRule type="cellIs" priority="24" operator="equal" dxfId="1">
      <formula>"Partially implemented"</formula>
    </cfRule>
    <cfRule type="cellIs" priority="25" operator="equal" dxfId="1">
      <formula>"Partial"</formula>
    </cfRule>
    <cfRule type="cellIs" priority="26" operator="equal" dxfId="1">
      <formula>"Done late"</formula>
    </cfRule>
    <cfRule type="cellIs" priority="27" operator="equal" dxfId="1">
      <formula>"In progress"</formula>
    </cfRule>
    <cfRule type="cellIs" priority="28" operator="equal" dxfId="1">
      <formula>"Open"</formula>
    </cfRule>
    <cfRule type="cellIs" priority="29" operator="equal" dxfId="1">
      <formula>"On track"</formula>
    </cfRule>
    <cfRule type="cellIs" priority="30" operator="equal" dxfId="4">
      <formula>"Planned"</formula>
    </cfRule>
    <cfRule type="cellIs" priority="31" operator="equal" dxfId="5">
      <formula>"Not started"</formula>
    </cfRule>
    <cfRule type="cellIs" priority="32" operator="equal" dxfId="2">
      <formula>"Not implemented"</formula>
    </cfRule>
    <cfRule type="cellIs" priority="33" operator="equal" dxfId="2">
      <formula>"No"</formula>
    </cfRule>
    <cfRule type="cellIs" priority="34" operator="equal" dxfId="2">
      <formula>"Overdue"</formula>
    </cfRule>
    <cfRule type="cellIs" priority="35" operator="equal" dxfId="2">
      <formula>"Not met"</formula>
    </cfRule>
    <cfRule type="cellIs" priority="36" operator="equal" dxfId="6">
      <formula>"Excluded"</formula>
    </cfRule>
  </conditionalFormatting>
  <dataValidations count="1">
    <dataValidation sqref="G5:G51" showDropDown="0" showInputMessage="0" showErrorMessage="0" allowBlank="1" errorTitle="Invalid value" error="Pick a value from the list." type="list">
      <formula1>"Not started,Planned,In progress,Done"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90" customWidth="1" min="4" max="4"/>
  </cols>
  <sheetData>
    <row r="1">
      <c r="A1" s="8" t="inlineStr">
        <is>
          <t>Risk scales and treatment options</t>
        </is>
      </c>
    </row>
    <row r="2" ht="30" customHeight="1">
      <c r="A2" s="3" t="inlineStr">
        <is>
          <t>The same scales are used in IMS-PRO-001 Risk Management Methodology (Information Security and AI) and IMS-PRO-002 AI System Impact Assessment Procedure and Worked Example. Change them only by Trust Council decision, and everywhere at once.</t>
        </is>
      </c>
    </row>
    <row r="4" ht="32" customHeight="1">
      <c r="A4" s="9" t="inlineStr">
        <is>
          <t>Scale</t>
        </is>
      </c>
      <c r="B4" s="9" t="inlineStr">
        <is>
          <t>Value</t>
        </is>
      </c>
      <c r="C4" s="9" t="inlineStr">
        <is>
          <t>Name</t>
        </is>
      </c>
      <c r="D4" s="9" t="inlineStr">
        <is>
          <t>Meaning</t>
        </is>
      </c>
    </row>
    <row r="5">
      <c r="A5" s="12" t="inlineStr">
        <is>
          <t>Likelihood (L)</t>
        </is>
      </c>
      <c r="B5" s="12" t="inlineStr"/>
      <c r="C5" s="12" t="inlineStr"/>
      <c r="D5" s="12" t="inlineStr"/>
    </row>
    <row r="6">
      <c r="A6" s="5" t="inlineStr">
        <is>
          <t>Likelihood</t>
        </is>
      </c>
      <c r="B6" s="5" t="n">
        <v>1</v>
      </c>
      <c r="C6" s="5" t="inlineStr">
        <is>
          <t>Rare</t>
        </is>
      </c>
      <c r="D6" s="5" t="inlineStr">
        <is>
          <t>Not expected in the next 3 years</t>
        </is>
      </c>
    </row>
    <row r="7">
      <c r="A7" s="5" t="inlineStr">
        <is>
          <t>Likelihood</t>
        </is>
      </c>
      <c r="B7" s="5" t="n">
        <v>2</v>
      </c>
      <c r="C7" s="5" t="inlineStr">
        <is>
          <t>Unlikely</t>
        </is>
      </c>
      <c r="D7" s="5" t="inlineStr">
        <is>
          <t>Could happen once in 2–3 years</t>
        </is>
      </c>
    </row>
    <row r="8">
      <c r="A8" s="5" t="inlineStr">
        <is>
          <t>Likelihood</t>
        </is>
      </c>
      <c r="B8" s="5" t="n">
        <v>3</v>
      </c>
      <c r="C8" s="5" t="inlineStr">
        <is>
          <t>Possible</t>
        </is>
      </c>
      <c r="D8" s="5" t="inlineStr">
        <is>
          <t>Could happen about once a year</t>
        </is>
      </c>
    </row>
    <row r="9">
      <c r="A9" s="5" t="inlineStr">
        <is>
          <t>Likelihood</t>
        </is>
      </c>
      <c r="B9" s="5" t="n">
        <v>4</v>
      </c>
      <c r="C9" s="5" t="inlineStr">
        <is>
          <t>Likely</t>
        </is>
      </c>
      <c r="D9" s="5" t="inlineStr">
        <is>
          <t>Expected several times a year</t>
        </is>
      </c>
    </row>
    <row r="10">
      <c r="A10" s="5" t="inlineStr">
        <is>
          <t>Likelihood</t>
        </is>
      </c>
      <c r="B10" s="5" t="n">
        <v>5</v>
      </c>
      <c r="C10" s="5" t="inlineStr">
        <is>
          <t>Almost certain</t>
        </is>
      </c>
      <c r="D10" s="5" t="inlineStr">
        <is>
          <t>Expected monthly or already happening</t>
        </is>
      </c>
    </row>
    <row r="11">
      <c r="A11" s="12" t="inlineStr">
        <is>
          <t>Impact (I)</t>
        </is>
      </c>
      <c r="B11" s="12" t="inlineStr"/>
      <c r="C11" s="12" t="inlineStr"/>
      <c r="D11" s="12" t="inlineStr"/>
    </row>
    <row r="12">
      <c r="A12" s="5" t="inlineStr">
        <is>
          <t>Impact</t>
        </is>
      </c>
      <c r="B12" s="5" t="n">
        <v>1</v>
      </c>
      <c r="C12" s="5" t="inlineStr">
        <is>
          <t>Negligible</t>
        </is>
      </c>
      <c r="D12" s="5" t="inlineStr">
        <is>
          <t>No harm to people; cost &lt; USD 5k; nobody outside notices</t>
        </is>
      </c>
    </row>
    <row r="13">
      <c r="A13" s="5" t="inlineStr">
        <is>
          <t>Impact</t>
        </is>
      </c>
      <c r="B13" s="5" t="n">
        <v>2</v>
      </c>
      <c r="C13" s="5" t="inlineStr">
        <is>
          <t>Minor</t>
        </is>
      </c>
      <c r="D13" s="5" t="inlineStr">
        <is>
          <t>Short inconvenience for a few users or artists; &lt; USD 25k; one customer complaint</t>
        </is>
      </c>
    </row>
    <row r="14">
      <c r="A14" s="5" t="inlineStr">
        <is>
          <t>Impact</t>
        </is>
      </c>
      <c r="B14" s="5" t="n">
        <v>3</v>
      </c>
      <c r="C14" s="5" t="inlineStr">
        <is>
          <t>Moderate</t>
        </is>
      </c>
      <c r="D14" s="5" t="inlineStr">
        <is>
          <t>Noticeable harm, unfair outcome or data exposure for a limited group; &lt; USD 100k; a customer escalates or a regulator asks questions</t>
        </is>
      </c>
    </row>
    <row r="15">
      <c r="A15" s="5" t="inlineStr">
        <is>
          <t>Impact</t>
        </is>
      </c>
      <c r="B15" s="5" t="n">
        <v>4</v>
      </c>
      <c r="C15" s="5" t="inlineStr">
        <is>
          <t>Major</t>
        </is>
      </c>
      <c r="D15" s="5" t="inlineStr">
        <is>
          <t>Serious harm to people or rights, notifiable data breach, IP infringement claim; &lt; USD 500k; loss of a key customer</t>
        </is>
      </c>
    </row>
    <row r="16">
      <c r="A16" s="5" t="inlineStr">
        <is>
          <t>Impact</t>
        </is>
      </c>
      <c r="B16" s="5" t="n">
        <v>5</v>
      </c>
      <c r="C16" s="5" t="inlineStr">
        <is>
          <t>Severe</t>
        </is>
      </c>
      <c r="D16" s="5" t="inlineStr">
        <is>
          <t>Harm to a vulnerable person, widespread unfair or deceptive outcomes, or &gt; USD 500k; threatens the company's survival or market access</t>
        </is>
      </c>
    </row>
    <row r="17">
      <c r="A17" s="12" t="inlineStr">
        <is>
          <t>Risk level (score = L × I)</t>
        </is>
      </c>
      <c r="B17" s="12" t="inlineStr"/>
      <c r="C17" s="12" t="inlineStr"/>
      <c r="D17" s="12" t="inlineStr"/>
    </row>
    <row r="18">
      <c r="A18" s="5" t="inlineStr">
        <is>
          <t>Level</t>
        </is>
      </c>
      <c r="B18" s="5" t="inlineStr">
        <is>
          <t>1–4</t>
        </is>
      </c>
      <c r="C18" s="5" t="inlineStr">
        <is>
          <t>Low</t>
        </is>
      </c>
      <c r="D18" s="5" t="inlineStr">
        <is>
          <t>Accept; risk owner monitors</t>
        </is>
      </c>
    </row>
    <row r="19">
      <c r="A19" s="5" t="inlineStr">
        <is>
          <t>Level</t>
        </is>
      </c>
      <c r="B19" s="5" t="inlineStr">
        <is>
          <t>5–9</t>
        </is>
      </c>
      <c r="C19" s="5" t="inlineStr">
        <is>
          <t>Medium</t>
        </is>
      </c>
      <c r="D19" s="5" t="inlineStr">
        <is>
          <t>Treat, or accept by the risk owner; review every 6 months</t>
        </is>
      </c>
    </row>
    <row r="20">
      <c r="A20" s="5" t="inlineStr">
        <is>
          <t>Level</t>
        </is>
      </c>
      <c r="B20" s="5" t="inlineStr">
        <is>
          <t>10–15</t>
        </is>
      </c>
      <c r="C20" s="5" t="inlineStr">
        <is>
          <t>High</t>
        </is>
      </c>
      <c r="D20" s="5" t="inlineStr">
        <is>
          <t>Must treat; residual acceptance only by the Security Lead or Head of AI plus the Trust Council</t>
        </is>
      </c>
    </row>
    <row r="21">
      <c r="A21" s="5" t="inlineStr">
        <is>
          <t>Level</t>
        </is>
      </c>
      <c r="B21" s="5" t="inlineStr">
        <is>
          <t>16–25</t>
        </is>
      </c>
      <c r="C21" s="5" t="inlineStr">
        <is>
          <t>Critical</t>
        </is>
      </c>
      <c r="D21" s="5" t="inlineStr">
        <is>
          <t>Not acceptable; stop, redesign or withdraw; tell the CEO within 24 hours</t>
        </is>
      </c>
    </row>
    <row r="22">
      <c r="A22" s="12" t="inlineStr">
        <is>
          <t>Treatment options</t>
        </is>
      </c>
      <c r="B22" s="12" t="inlineStr"/>
      <c r="C22" s="12" t="inlineStr"/>
      <c r="D22" s="12" t="inlineStr"/>
    </row>
    <row r="23">
      <c r="A23" s="5" t="inlineStr">
        <is>
          <t>Treatment</t>
        </is>
      </c>
      <c r="B23" s="5" t="inlineStr"/>
      <c r="C23" s="5" t="inlineStr">
        <is>
          <t>Modify</t>
        </is>
      </c>
      <c r="D23" s="5" t="inlineStr">
        <is>
          <t>Add or improve controls to reduce likelihood or impact</t>
        </is>
      </c>
    </row>
    <row r="24">
      <c r="A24" s="5" t="inlineStr">
        <is>
          <t>Treatment</t>
        </is>
      </c>
      <c r="B24" s="5" t="inlineStr"/>
      <c r="C24" s="5" t="inlineStr">
        <is>
          <t>Avoid</t>
        </is>
      </c>
      <c r="D24" s="5" t="inlineStr">
        <is>
          <t>Stop or change the activity that creates the risk</t>
        </is>
      </c>
    </row>
    <row r="25">
      <c r="A25" s="5" t="inlineStr">
        <is>
          <t>Treatment</t>
        </is>
      </c>
      <c r="B25" s="5" t="inlineStr"/>
      <c r="C25" s="5" t="inlineStr">
        <is>
          <t>Share</t>
        </is>
      </c>
      <c r="D25" s="5" t="inlineStr">
        <is>
          <t>Transfer part of the impact by contract, insurance or supplier</t>
        </is>
      </c>
    </row>
    <row r="26">
      <c r="A26" s="5" t="inlineStr">
        <is>
          <t>Treatment</t>
        </is>
      </c>
      <c r="B26" s="5" t="inlineStr"/>
      <c r="C26" s="5" t="inlineStr">
        <is>
          <t>Retain</t>
        </is>
      </c>
      <c r="D26" s="5" t="inlineStr">
        <is>
          <t>Accept as it is, within the acceptance rules in IMS-PRO-001</t>
        </is>
      </c>
    </row>
  </sheetData>
  <autoFilter ref="A4:D26"/>
  <mergeCells count="1">
    <mergeCell ref="A2:D2"/>
  </mergeCells>
  <conditionalFormatting sqref="C5:C26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8" t="inlineStr">
        <is>
          <t>Risk heat map (calculated)</t>
        </is>
      </c>
    </row>
    <row r="2" ht="30" customHeight="1">
      <c r="A2" s="3" t="inlineStr">
        <is>
          <t>Counts of risks per likelihood × impact cell, calculated from the Risk Register with COUNTIFS. Compare the inherent and residual grids to show the effect of treatment.</t>
        </is>
      </c>
    </row>
    <row r="4" ht="32" customHeight="1">
      <c r="A4" s="9" t="inlineStr">
        <is>
          <t>Likelihood ↓ / Impact →</t>
        </is>
      </c>
      <c r="B4" s="9" t="inlineStr">
        <is>
          <t>1 Negligible</t>
        </is>
      </c>
      <c r="C4" s="9" t="inlineStr">
        <is>
          <t>2 Minor</t>
        </is>
      </c>
      <c r="D4" s="9" t="inlineStr">
        <is>
          <t>3 Moderate</t>
        </is>
      </c>
      <c r="E4" s="9" t="inlineStr">
        <is>
          <t>4 Major</t>
        </is>
      </c>
      <c r="F4" s="9" t="inlineStr">
        <is>
          <t>5 Severe</t>
        </is>
      </c>
      <c r="G4" s="9" t="inlineStr">
        <is>
          <t>Total</t>
        </is>
      </c>
    </row>
    <row r="5">
      <c r="A5" s="12" t="inlineStr">
        <is>
          <t>INHERENT RISK — number of risks in each cell</t>
        </is>
      </c>
      <c r="B5" s="12" t="inlineStr"/>
      <c r="C5" s="12" t="inlineStr"/>
      <c r="D5" s="12" t="inlineStr"/>
      <c r="E5" s="12" t="inlineStr"/>
      <c r="F5" s="12" t="inlineStr"/>
      <c r="G5" s="12" t="inlineStr"/>
    </row>
    <row r="6">
      <c r="A6" s="5" t="inlineStr">
        <is>
          <t>5 Almost certain</t>
        </is>
      </c>
      <c r="B6" s="5">
        <f>COUNTIFS('Risk Register'!$H$5:$H$600,5,'Risk Register'!$I$5:$I$600,1)</f>
        <v/>
      </c>
      <c r="C6" s="5">
        <f>COUNTIFS('Risk Register'!$H$5:$H$600,5,'Risk Register'!$I$5:$I$600,2)</f>
        <v/>
      </c>
      <c r="D6" s="5">
        <f>COUNTIFS('Risk Register'!$H$5:$H$600,5,'Risk Register'!$I$5:$I$600,3)</f>
        <v/>
      </c>
      <c r="E6" s="5">
        <f>COUNTIFS('Risk Register'!$H$5:$H$600,5,'Risk Register'!$I$5:$I$600,4)</f>
        <v/>
      </c>
      <c r="F6" s="5">
        <f>COUNTIFS('Risk Register'!$H$5:$H$600,5,'Risk Register'!$I$5:$I$600,5)</f>
        <v/>
      </c>
      <c r="G6" s="5">
        <f>SUM(B6:F6)</f>
        <v/>
      </c>
    </row>
    <row r="7">
      <c r="A7" s="5" t="inlineStr">
        <is>
          <t>4 Likely</t>
        </is>
      </c>
      <c r="B7" s="5">
        <f>COUNTIFS('Risk Register'!$H$5:$H$600,4,'Risk Register'!$I$5:$I$600,1)</f>
        <v/>
      </c>
      <c r="C7" s="5">
        <f>COUNTIFS('Risk Register'!$H$5:$H$600,4,'Risk Register'!$I$5:$I$600,2)</f>
        <v/>
      </c>
      <c r="D7" s="5">
        <f>COUNTIFS('Risk Register'!$H$5:$H$600,4,'Risk Register'!$I$5:$I$600,3)</f>
        <v/>
      </c>
      <c r="E7" s="5">
        <f>COUNTIFS('Risk Register'!$H$5:$H$600,4,'Risk Register'!$I$5:$I$600,4)</f>
        <v/>
      </c>
      <c r="F7" s="5">
        <f>COUNTIFS('Risk Register'!$H$5:$H$600,4,'Risk Register'!$I$5:$I$600,5)</f>
        <v/>
      </c>
      <c r="G7" s="5">
        <f>SUM(B7:F7)</f>
        <v/>
      </c>
    </row>
    <row r="8">
      <c r="A8" s="5" t="inlineStr">
        <is>
          <t>3 Possible</t>
        </is>
      </c>
      <c r="B8" s="5">
        <f>COUNTIFS('Risk Register'!$H$5:$H$600,3,'Risk Register'!$I$5:$I$600,1)</f>
        <v/>
      </c>
      <c r="C8" s="5">
        <f>COUNTIFS('Risk Register'!$H$5:$H$600,3,'Risk Register'!$I$5:$I$600,2)</f>
        <v/>
      </c>
      <c r="D8" s="5">
        <f>COUNTIFS('Risk Register'!$H$5:$H$600,3,'Risk Register'!$I$5:$I$600,3)</f>
        <v/>
      </c>
      <c r="E8" s="5">
        <f>COUNTIFS('Risk Register'!$H$5:$H$600,3,'Risk Register'!$I$5:$I$600,4)</f>
        <v/>
      </c>
      <c r="F8" s="5">
        <f>COUNTIFS('Risk Register'!$H$5:$H$600,3,'Risk Register'!$I$5:$I$600,5)</f>
        <v/>
      </c>
      <c r="G8" s="5">
        <f>SUM(B8:F8)</f>
        <v/>
      </c>
    </row>
    <row r="9">
      <c r="A9" s="5" t="inlineStr">
        <is>
          <t>2 Unlikely</t>
        </is>
      </c>
      <c r="B9" s="5">
        <f>COUNTIFS('Risk Register'!$H$5:$H$600,2,'Risk Register'!$I$5:$I$600,1)</f>
        <v/>
      </c>
      <c r="C9" s="5">
        <f>COUNTIFS('Risk Register'!$H$5:$H$600,2,'Risk Register'!$I$5:$I$600,2)</f>
        <v/>
      </c>
      <c r="D9" s="5">
        <f>COUNTIFS('Risk Register'!$H$5:$H$600,2,'Risk Register'!$I$5:$I$600,3)</f>
        <v/>
      </c>
      <c r="E9" s="5">
        <f>COUNTIFS('Risk Register'!$H$5:$H$600,2,'Risk Register'!$I$5:$I$600,4)</f>
        <v/>
      </c>
      <c r="F9" s="5">
        <f>COUNTIFS('Risk Register'!$H$5:$H$600,2,'Risk Register'!$I$5:$I$600,5)</f>
        <v/>
      </c>
      <c r="G9" s="5">
        <f>SUM(B9:F9)</f>
        <v/>
      </c>
    </row>
    <row r="10">
      <c r="A10" s="5" t="inlineStr">
        <is>
          <t>1 Rare</t>
        </is>
      </c>
      <c r="B10" s="5">
        <f>COUNTIFS('Risk Register'!$H$5:$H$600,1,'Risk Register'!$I$5:$I$600,1)</f>
        <v/>
      </c>
      <c r="C10" s="5">
        <f>COUNTIFS('Risk Register'!$H$5:$H$600,1,'Risk Register'!$I$5:$I$600,2)</f>
        <v/>
      </c>
      <c r="D10" s="5">
        <f>COUNTIFS('Risk Register'!$H$5:$H$600,1,'Risk Register'!$I$5:$I$600,3)</f>
        <v/>
      </c>
      <c r="E10" s="5">
        <f>COUNTIFS('Risk Register'!$H$5:$H$600,1,'Risk Register'!$I$5:$I$600,4)</f>
        <v/>
      </c>
      <c r="F10" s="5">
        <f>COUNTIFS('Risk Register'!$H$5:$H$600,1,'Risk Register'!$I$5:$I$600,5)</f>
        <v/>
      </c>
      <c r="G10" s="5">
        <f>SUM(B10:F10)</f>
        <v/>
      </c>
    </row>
    <row r="11">
      <c r="A11" s="5" t="inlineStr">
        <is>
          <t>Total</t>
        </is>
      </c>
      <c r="B11" s="5">
        <f>SUM(B6:B10)</f>
        <v/>
      </c>
      <c r="C11" s="5">
        <f>SUM(C6:C10)</f>
        <v/>
      </c>
      <c r="D11" s="5">
        <f>SUM(D6:D10)</f>
        <v/>
      </c>
      <c r="E11" s="5">
        <f>SUM(E6:E10)</f>
        <v/>
      </c>
      <c r="F11" s="5">
        <f>SUM(F6:F10)</f>
        <v/>
      </c>
      <c r="G11" s="5">
        <f>SUM(G6:G10)</f>
        <v/>
      </c>
    </row>
    <row r="12">
      <c r="A12" s="12" t="inlineStr">
        <is>
          <t>RESIDUAL RISK — number of risks in each cell</t>
        </is>
      </c>
      <c r="B12" s="12" t="inlineStr"/>
      <c r="C12" s="12" t="inlineStr"/>
      <c r="D12" s="12" t="inlineStr"/>
      <c r="E12" s="12" t="inlineStr"/>
      <c r="F12" s="12" t="inlineStr"/>
      <c r="G12" s="12" t="inlineStr"/>
    </row>
    <row r="13">
      <c r="A13" s="5" t="inlineStr">
        <is>
          <t>5 Almost certain</t>
        </is>
      </c>
      <c r="B13" s="5">
        <f>COUNTIFS('Risk Register'!$P$5:$P$600,5,'Risk Register'!$Q$5:$Q$600,1)</f>
        <v/>
      </c>
      <c r="C13" s="5">
        <f>COUNTIFS('Risk Register'!$P$5:$P$600,5,'Risk Register'!$Q$5:$Q$600,2)</f>
        <v/>
      </c>
      <c r="D13" s="5">
        <f>COUNTIFS('Risk Register'!$P$5:$P$600,5,'Risk Register'!$Q$5:$Q$600,3)</f>
        <v/>
      </c>
      <c r="E13" s="5">
        <f>COUNTIFS('Risk Register'!$P$5:$P$600,5,'Risk Register'!$Q$5:$Q$600,4)</f>
        <v/>
      </c>
      <c r="F13" s="5">
        <f>COUNTIFS('Risk Register'!$P$5:$P$600,5,'Risk Register'!$Q$5:$Q$600,5)</f>
        <v/>
      </c>
      <c r="G13" s="5">
        <f>SUM(B13:F13)</f>
        <v/>
      </c>
    </row>
    <row r="14">
      <c r="A14" s="5" t="inlineStr">
        <is>
          <t>4 Likely</t>
        </is>
      </c>
      <c r="B14" s="5">
        <f>COUNTIFS('Risk Register'!$P$5:$P$600,4,'Risk Register'!$Q$5:$Q$600,1)</f>
        <v/>
      </c>
      <c r="C14" s="5">
        <f>COUNTIFS('Risk Register'!$P$5:$P$600,4,'Risk Register'!$Q$5:$Q$600,2)</f>
        <v/>
      </c>
      <c r="D14" s="5">
        <f>COUNTIFS('Risk Register'!$P$5:$P$600,4,'Risk Register'!$Q$5:$Q$600,3)</f>
        <v/>
      </c>
      <c r="E14" s="5">
        <f>COUNTIFS('Risk Register'!$P$5:$P$600,4,'Risk Register'!$Q$5:$Q$600,4)</f>
        <v/>
      </c>
      <c r="F14" s="5">
        <f>COUNTIFS('Risk Register'!$P$5:$P$600,4,'Risk Register'!$Q$5:$Q$600,5)</f>
        <v/>
      </c>
      <c r="G14" s="5">
        <f>SUM(B14:F14)</f>
        <v/>
      </c>
    </row>
    <row r="15">
      <c r="A15" s="5" t="inlineStr">
        <is>
          <t>3 Possible</t>
        </is>
      </c>
      <c r="B15" s="5">
        <f>COUNTIFS('Risk Register'!$P$5:$P$600,3,'Risk Register'!$Q$5:$Q$600,1)</f>
        <v/>
      </c>
      <c r="C15" s="5">
        <f>COUNTIFS('Risk Register'!$P$5:$P$600,3,'Risk Register'!$Q$5:$Q$600,2)</f>
        <v/>
      </c>
      <c r="D15" s="5">
        <f>COUNTIFS('Risk Register'!$P$5:$P$600,3,'Risk Register'!$Q$5:$Q$600,3)</f>
        <v/>
      </c>
      <c r="E15" s="5">
        <f>COUNTIFS('Risk Register'!$P$5:$P$600,3,'Risk Register'!$Q$5:$Q$600,4)</f>
        <v/>
      </c>
      <c r="F15" s="5">
        <f>COUNTIFS('Risk Register'!$P$5:$P$600,3,'Risk Register'!$Q$5:$Q$600,5)</f>
        <v/>
      </c>
      <c r="G15" s="5">
        <f>SUM(B15:F15)</f>
        <v/>
      </c>
    </row>
    <row r="16">
      <c r="A16" s="5" t="inlineStr">
        <is>
          <t>2 Unlikely</t>
        </is>
      </c>
      <c r="B16" s="5">
        <f>COUNTIFS('Risk Register'!$P$5:$P$600,2,'Risk Register'!$Q$5:$Q$600,1)</f>
        <v/>
      </c>
      <c r="C16" s="5">
        <f>COUNTIFS('Risk Register'!$P$5:$P$600,2,'Risk Register'!$Q$5:$Q$600,2)</f>
        <v/>
      </c>
      <c r="D16" s="5">
        <f>COUNTIFS('Risk Register'!$P$5:$P$600,2,'Risk Register'!$Q$5:$Q$600,3)</f>
        <v/>
      </c>
      <c r="E16" s="5">
        <f>COUNTIFS('Risk Register'!$P$5:$P$600,2,'Risk Register'!$Q$5:$Q$600,4)</f>
        <v/>
      </c>
      <c r="F16" s="5">
        <f>COUNTIFS('Risk Register'!$P$5:$P$600,2,'Risk Register'!$Q$5:$Q$600,5)</f>
        <v/>
      </c>
      <c r="G16" s="5">
        <f>SUM(B16:F16)</f>
        <v/>
      </c>
    </row>
    <row r="17">
      <c r="A17" s="5" t="inlineStr">
        <is>
          <t>1 Rare</t>
        </is>
      </c>
      <c r="B17" s="5">
        <f>COUNTIFS('Risk Register'!$P$5:$P$600,1,'Risk Register'!$Q$5:$Q$600,1)</f>
        <v/>
      </c>
      <c r="C17" s="5">
        <f>COUNTIFS('Risk Register'!$P$5:$P$600,1,'Risk Register'!$Q$5:$Q$600,2)</f>
        <v/>
      </c>
      <c r="D17" s="5">
        <f>COUNTIFS('Risk Register'!$P$5:$P$600,1,'Risk Register'!$Q$5:$Q$600,3)</f>
        <v/>
      </c>
      <c r="E17" s="5">
        <f>COUNTIFS('Risk Register'!$P$5:$P$600,1,'Risk Register'!$Q$5:$Q$600,4)</f>
        <v/>
      </c>
      <c r="F17" s="5">
        <f>COUNTIFS('Risk Register'!$P$5:$P$600,1,'Risk Register'!$Q$5:$Q$600,5)</f>
        <v/>
      </c>
      <c r="G17" s="5">
        <f>SUM(B17:F17)</f>
        <v/>
      </c>
    </row>
    <row r="18">
      <c r="A18" s="5" t="inlineStr">
        <is>
          <t>Total</t>
        </is>
      </c>
      <c r="B18" s="5">
        <f>SUM(B13:B17)</f>
        <v/>
      </c>
      <c r="C18" s="5">
        <f>SUM(C13:C17)</f>
        <v/>
      </c>
      <c r="D18" s="5">
        <f>SUM(D13:D17)</f>
        <v/>
      </c>
      <c r="E18" s="5">
        <f>SUM(E13:E17)</f>
        <v/>
      </c>
      <c r="F18" s="5">
        <f>SUM(F13:F17)</f>
        <v/>
      </c>
      <c r="G18" s="5">
        <f>SUM(G13:G17)</f>
        <v/>
      </c>
    </row>
    <row r="19">
      <c r="A19" s="12" t="inlineStr">
        <is>
          <t>RISK LEVEL OF EACH CELL (key)</t>
        </is>
      </c>
      <c r="B19" s="12" t="inlineStr"/>
      <c r="C19" s="12" t="inlineStr"/>
      <c r="D19" s="12" t="inlineStr"/>
      <c r="E19" s="12" t="inlineStr"/>
      <c r="F19" s="12" t="inlineStr"/>
      <c r="G19" s="12" t="inlineStr"/>
    </row>
    <row r="20">
      <c r="A20" s="5" t="inlineStr">
        <is>
          <t>5 Almost certain</t>
        </is>
      </c>
      <c r="B20" s="5" t="inlineStr">
        <is>
          <t>Medium</t>
        </is>
      </c>
      <c r="C20" s="5" t="inlineStr">
        <is>
          <t>High</t>
        </is>
      </c>
      <c r="D20" s="5" t="inlineStr">
        <is>
          <t>High</t>
        </is>
      </c>
      <c r="E20" s="5" t="inlineStr">
        <is>
          <t>Critical</t>
        </is>
      </c>
      <c r="F20" s="5" t="inlineStr">
        <is>
          <t>Critical</t>
        </is>
      </c>
      <c r="G20" s="5" t="inlineStr"/>
    </row>
    <row r="21">
      <c r="A21" s="5" t="inlineStr">
        <is>
          <t>4 Likely</t>
        </is>
      </c>
      <c r="B21" s="5" t="inlineStr">
        <is>
          <t>Low</t>
        </is>
      </c>
      <c r="C21" s="5" t="inlineStr">
        <is>
          <t>Medium</t>
        </is>
      </c>
      <c r="D21" s="5" t="inlineStr">
        <is>
          <t>High</t>
        </is>
      </c>
      <c r="E21" s="5" t="inlineStr">
        <is>
          <t>Critical</t>
        </is>
      </c>
      <c r="F21" s="5" t="inlineStr">
        <is>
          <t>Critical</t>
        </is>
      </c>
      <c r="G21" s="5" t="inlineStr"/>
    </row>
    <row r="22">
      <c r="A22" s="5" t="inlineStr">
        <is>
          <t>3 Possible</t>
        </is>
      </c>
      <c r="B22" s="5" t="inlineStr">
        <is>
          <t>Low</t>
        </is>
      </c>
      <c r="C22" s="5" t="inlineStr">
        <is>
          <t>Medium</t>
        </is>
      </c>
      <c r="D22" s="5" t="inlineStr">
        <is>
          <t>Medium</t>
        </is>
      </c>
      <c r="E22" s="5" t="inlineStr">
        <is>
          <t>High</t>
        </is>
      </c>
      <c r="F22" s="5" t="inlineStr">
        <is>
          <t>High</t>
        </is>
      </c>
      <c r="G22" s="5" t="inlineStr"/>
    </row>
    <row r="23">
      <c r="A23" s="5" t="inlineStr">
        <is>
          <t>2 Unlikely</t>
        </is>
      </c>
      <c r="B23" s="5" t="inlineStr">
        <is>
          <t>Low</t>
        </is>
      </c>
      <c r="C23" s="5" t="inlineStr">
        <is>
          <t>Low</t>
        </is>
      </c>
      <c r="D23" s="5" t="inlineStr">
        <is>
          <t>Medium</t>
        </is>
      </c>
      <c r="E23" s="5" t="inlineStr">
        <is>
          <t>Medium</t>
        </is>
      </c>
      <c r="F23" s="5" t="inlineStr">
        <is>
          <t>High</t>
        </is>
      </c>
      <c r="G23" s="5" t="inlineStr"/>
    </row>
    <row r="24">
      <c r="A24" s="5" t="inlineStr">
        <is>
          <t>1 Rare</t>
        </is>
      </c>
      <c r="B24" s="5" t="inlineStr">
        <is>
          <t>Low</t>
        </is>
      </c>
      <c r="C24" s="5" t="inlineStr">
        <is>
          <t>Low</t>
        </is>
      </c>
      <c r="D24" s="5" t="inlineStr">
        <is>
          <t>Low</t>
        </is>
      </c>
      <c r="E24" s="5" t="inlineStr">
        <is>
          <t>Low</t>
        </is>
      </c>
      <c r="F24" s="5" t="inlineStr">
        <is>
          <t>Medium</t>
        </is>
      </c>
      <c r="G24" s="5" t="inlineStr"/>
    </row>
  </sheetData>
  <autoFilter ref="A4:G24"/>
  <mergeCells count="1">
    <mergeCell ref="A2:G2"/>
  </mergeCells>
  <conditionalFormatting sqref="B5:B24">
    <cfRule type="cellIs" priority="1" operator="equal" dxfId="0">
      <formula>"Low"</formula>
    </cfRule>
    <cfRule type="cellIs" priority="2" operator="equal" dxfId="1">
      <formula>"Medium"</formula>
    </cfRule>
    <cfRule type="cellIs" priority="3" operator="equal" dxfId="2">
      <formula>"High"</formula>
    </cfRule>
    <cfRule type="cellIs" priority="4" operator="equal" dxfId="3">
      <formula>"Critical"</formula>
    </cfRule>
  </conditionalFormatting>
  <conditionalFormatting sqref="C5:C24">
    <cfRule type="cellIs" priority="5" operator="equal" dxfId="0">
      <formula>"Low"</formula>
    </cfRule>
    <cfRule type="cellIs" priority="6" operator="equal" dxfId="1">
      <formula>"Medium"</formula>
    </cfRule>
    <cfRule type="cellIs" priority="7" operator="equal" dxfId="2">
      <formula>"High"</formula>
    </cfRule>
    <cfRule type="cellIs" priority="8" operator="equal" dxfId="3">
      <formula>"Critical"</formula>
    </cfRule>
  </conditionalFormatting>
  <conditionalFormatting sqref="D5:D24">
    <cfRule type="cellIs" priority="9" operator="equal" dxfId="0">
      <formula>"Low"</formula>
    </cfRule>
    <cfRule type="cellIs" priority="10" operator="equal" dxfId="1">
      <formula>"Medium"</formula>
    </cfRule>
    <cfRule type="cellIs" priority="11" operator="equal" dxfId="2">
      <formula>"High"</formula>
    </cfRule>
    <cfRule type="cellIs" priority="12" operator="equal" dxfId="3">
      <formula>"Critical"</formula>
    </cfRule>
  </conditionalFormatting>
  <conditionalFormatting sqref="E5:E24">
    <cfRule type="cellIs" priority="13" operator="equal" dxfId="0">
      <formula>"Low"</formula>
    </cfRule>
    <cfRule type="cellIs" priority="14" operator="equal" dxfId="1">
      <formula>"Medium"</formula>
    </cfRule>
    <cfRule type="cellIs" priority="15" operator="equal" dxfId="2">
      <formula>"High"</formula>
    </cfRule>
    <cfRule type="cellIs" priority="16" operator="equal" dxfId="3">
      <formula>"Critical"</formula>
    </cfRule>
  </conditionalFormatting>
  <conditionalFormatting sqref="F5:F24">
    <cfRule type="cellIs" priority="17" operator="equal" dxfId="0">
      <formula>"Low"</formula>
    </cfRule>
    <cfRule type="cellIs" priority="18" operator="equal" dxfId="1">
      <formula>"Medium"</formula>
    </cfRule>
    <cfRule type="cellIs" priority="19" operator="equal" dxfId="2">
      <formula>"High"</formula>
    </cfRule>
    <cfRule type="cellIs" priority="20" operator="equal" dxfId="3">
      <formula>"Critical"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Prof. Dr. Mohamed Fawzi Elgendi (Fawzooz)</dc:creator>
  <dc:title xmlns:dc="http://purl.org/dc/elements/1.1/">Integrated Risk Register and Treatment Plan</dc:title>
  <dcterms:created xmlns:dcterms="http://purl.org/dc/terms/" xmlns:xsi="http://www.w3.org/2001/XMLSchema-instance" xsi:type="dcterms:W3CDTF">2026-10-04T18:41:13Z</dcterms:created>
  <dcterms:modified xmlns:dcterms="http://purl.org/dc/terms/" xmlns:xsi="http://www.w3.org/2001/XMLSchema-instance" xsi:type="dcterms:W3CDTF">2026-10-04T18:41:13Z</dcterms:modified>
  <cp:lastModifiedBy>Prof. Dr. Mohamed Fawzi Elgendi (Fawzooz)</cp:lastModifiedBy>
</cp:coreProperties>
</file>