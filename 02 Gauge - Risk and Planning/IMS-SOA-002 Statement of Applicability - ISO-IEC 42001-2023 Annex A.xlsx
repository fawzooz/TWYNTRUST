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oA 42001" sheetId="2" state="visible" r:id="rId2"/>
    <sheet xmlns:r="http://schemas.openxmlformats.org/officeDocument/2006/relationships" name="Annex C objectives" sheetId="3" state="visible" r:id="rId3"/>
    <sheet xmlns:r="http://schemas.openxmlformats.org/officeDocument/2006/relationships" name="Annex C risk sour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Approval" sheetId="6" state="visible" r:id="rId6"/>
  </sheets>
  <definedNames>
    <definedName name="_xlnm._FilterDatabase" localSheetId="1" hidden="1">'SoA 42001'!$A$4:$K$42</definedName>
    <definedName name="_xlnm.Print_Titles" localSheetId="1">'SoA 42001'!$4:$4</definedName>
    <definedName name="_xlnm._FilterDatabase" localSheetId="2" hidden="1">'Annex C objectives'!$A$4:$D$20</definedName>
    <definedName name="_xlnm.Print_Titles" localSheetId="2">'Annex C objectives'!$4:$4</definedName>
    <definedName name="_xlnm._FilterDatabase" localSheetId="3" hidden="1">'Annex C risk sources'!$A$4:$C$16</definedName>
    <definedName name="_xlnm.Print_Titles" localSheetId="3">'Annex C risk sources'!$4:$4</definedName>
    <definedName name="_xlnm._FilterDatabase" localSheetId="4" hidden="1">'Summary'!$A$4:$F$14</definedName>
    <definedName name="_xlnm.Print_Titles" localSheetId="4">'Summary'!$4:$4</definedName>
    <definedName name="_xlnm._FilterDatabase" localSheetId="5" hidden="1">'Approval'!$A$4:$E$10</definedName>
    <definedName name="_xlnm.Print_Titles" localSheetId="5">'Approval'!$4:$4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Statement of Applicability — ISO/IEC 42001:2023 Annex A</t>
        </is>
      </c>
    </row>
    <row r="3" ht="48" customHeight="1">
      <c r="A3" s="3" t="inlineStr">
        <is>
          <t>Which of the 38 ISO/IEC 42001:2023 Annex A controls Quillfen Studio applies, to which AI systems, why, and how far each is implemented. Required by ISO/IEC 42001 clause 6.1.3. Also records how the Annex C objectives and risk sources were considered.</t>
        </is>
      </c>
    </row>
    <row r="5">
      <c r="A5" s="4" t="inlineStr">
        <is>
          <t>Document ID</t>
        </is>
      </c>
      <c r="B5" s="5" t="inlineStr">
        <is>
          <t>IMS-SOA-002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[Head of AI]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02 Gauge - Risk and Planning</t>
        </is>
      </c>
    </row>
    <row r="14">
      <c r="A14" s="4" t="inlineStr">
        <is>
          <t>ISO/IEC 27001:2022</t>
        </is>
      </c>
      <c r="B14" s="5" t="inlineStr">
        <is>
          <t>— (see IMS-SOA-001; related controls shown per row)</t>
        </is>
      </c>
    </row>
    <row r="15">
      <c r="A15" s="4" t="inlineStr">
        <is>
          <t>ISO/IEC 42001:2023</t>
        </is>
      </c>
      <c r="B15" s="5" t="inlineStr">
        <is>
          <t>6.1.3 AI risk treatment / Statement of Applicability; Annex A; Annex C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30" customHeight="1">
      <c r="A21" t="inlineStr">
        <is>
          <t>•</t>
        </is>
      </c>
      <c r="B21" s="3" t="inlineStr">
        <is>
          <t>All 38 controls must be listed. If you exclude one, say why (for example, you do no AI development at all).</t>
        </is>
      </c>
    </row>
    <row r="22" ht="30" customHeight="1">
      <c r="A22" t="inlineStr">
        <is>
          <t>•</t>
        </is>
      </c>
      <c r="B22" s="3" t="inlineStr">
        <is>
          <t>The 'AI systems' column shows where a control matters — useful when you have many systems with different roles.</t>
        </is>
      </c>
    </row>
    <row r="23" ht="15" customHeight="1">
      <c r="A23" t="inlineStr">
        <is>
          <t>•</t>
        </is>
      </c>
      <c r="B23" s="3" t="inlineStr">
        <is>
          <t>The 'Related 27001' column shows where one piece of evidence can serve both standards.</t>
        </is>
      </c>
    </row>
    <row r="24" ht="30" customHeight="1">
      <c r="A24" t="inlineStr">
        <is>
          <t>•</t>
        </is>
      </c>
      <c r="B24" s="3" t="inlineStr">
        <is>
          <t>Control names here are short paraphrases. Use your licensed copy of ISO/IEC 42001 (Annex A and the Annex B guidance) for the exact wording.</t>
        </is>
      </c>
    </row>
    <row r="26">
      <c r="A26" s="6" t="inlineStr">
        <is>
          <t>Sheets</t>
        </is>
      </c>
    </row>
    <row r="27" ht="60" customHeight="1">
      <c r="A27" s="7" t="inlineStr">
        <is>
          <t>SoA 42001</t>
        </is>
      </c>
      <c r="B27" s="3" t="inlineStr">
        <is>
          <t>Status values: Implemented · Partially implemented · Planned · Not implemented · Excluded. R = treats a risk in IMS-REG-002 · L = legal/regulatory · C = contractual · B = business need / good practice. AI systems: AI-SYS-001 StoryFrame; AI-SYS-002 ScriptMate; AI-SYS-003 ArtistMatch; AI-SYS-004 SafeFrame; AI-SYS-005 CodeAssist.</t>
        </is>
      </c>
    </row>
    <row r="28" ht="30" customHeight="1">
      <c r="A28" s="7" t="inlineStr">
        <is>
          <t>Annex C objectives</t>
        </is>
      </c>
      <c r="B28" s="3" t="inlineStr">
        <is>
          <t>Annex C lists objectives an organisation may pursue for AI. Record which ones you adopt and how — they feed IMS-REG-003.</t>
        </is>
      </c>
    </row>
    <row r="29" ht="30" customHeight="1">
      <c r="A29" s="7" t="inlineStr">
        <is>
          <t>Annex C risk sources</t>
        </is>
      </c>
      <c r="B29" s="3" t="inlineStr">
        <is>
          <t>Annex C lists typical sources of AI risk. Rate how much each applies to you; high ones must appear in IMS-REG-002.</t>
        </is>
      </c>
    </row>
    <row r="30" ht="15" customHeight="1">
      <c r="A30" s="7" t="inlineStr">
        <is>
          <t>Summary</t>
        </is>
      </c>
      <c r="B30" s="3" t="inlineStr">
        <is>
          <t>Counts update automatically from the SoA sheet.</t>
        </is>
      </c>
    </row>
    <row r="31" ht="15" customHeight="1">
      <c r="A31" s="7" t="inlineStr">
        <is>
          <t>Approval</t>
        </is>
      </c>
      <c r="B31" s="3" t="inlineStr">
        <is>
          <t>Approved by top management with the AI risk treatment plan and residual risks.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26" customWidth="1" min="3" max="3"/>
    <col width="12" customWidth="1" min="4" max="4"/>
    <col width="9" customWidth="1" min="5" max="5"/>
    <col width="26" customWidth="1" min="6" max="6"/>
    <col width="24" customWidth="1" min="7" max="7"/>
    <col width="20" customWidth="1" min="8" max="8"/>
    <col width="66" customWidth="1" min="9" max="9"/>
    <col width="9" customWidth="1" min="10" max="10"/>
    <col width="12" customWidth="1" min="11" max="11"/>
  </cols>
  <sheetData>
    <row r="1">
      <c r="A1" s="8" t="inlineStr">
        <is>
          <t>Statement of Applicability — ISO/IEC 42001:2023 Annex A</t>
        </is>
      </c>
    </row>
    <row r="2" ht="45" customHeight="1">
      <c r="A2" s="3" t="inlineStr">
        <is>
          <t>Status values: Implemented · Partially implemented · Planned · Not implemented · Excluded. R = treats a risk in IMS-REG-002 · L = legal/regulatory · C = contractual · B = business need / good practice. AI systems: AI-SYS-001 StoryFrame; AI-SYS-002 ScriptMate; AI-SYS-003 ArtistMatch; AI-SYS-004 SafeFrame; AI-SYS-005 CodeAssist.</t>
        </is>
      </c>
    </row>
    <row r="4" ht="32" customHeight="1">
      <c r="A4" s="9" t="inlineStr">
        <is>
          <t>Control</t>
        </is>
      </c>
      <c r="B4" s="9" t="inlineStr">
        <is>
          <t>Control (short name)</t>
        </is>
      </c>
      <c r="C4" s="9" t="inlineStr">
        <is>
          <t>Control area</t>
        </is>
      </c>
      <c r="D4" s="9" t="inlineStr">
        <is>
          <t>Applicable?</t>
        </is>
      </c>
      <c r="E4" s="9" t="inlineStr">
        <is>
          <t>Reason</t>
        </is>
      </c>
      <c r="F4" s="9" t="inlineStr">
        <is>
          <t>AI systems</t>
        </is>
      </c>
      <c r="G4" s="9" t="inlineStr">
        <is>
          <t>Linked risks</t>
        </is>
      </c>
      <c r="H4" s="9" t="inlineStr">
        <is>
          <t>Status</t>
        </is>
      </c>
      <c r="I4" s="9" t="inlineStr">
        <is>
          <t>How we do it / evidence</t>
        </is>
      </c>
      <c r="J4" s="9" t="inlineStr">
        <is>
          <t>Owner</t>
        </is>
      </c>
      <c r="K4" s="9" t="inlineStr">
        <is>
          <t>Related 27001</t>
        </is>
      </c>
    </row>
    <row r="5">
      <c r="A5" s="5" t="inlineStr">
        <is>
          <t>A.2.2</t>
        </is>
      </c>
      <c r="B5" s="5" t="inlineStr">
        <is>
          <t>AI policy</t>
        </is>
      </c>
      <c r="C5" s="5" t="inlineStr">
        <is>
          <t>Policies related to AI</t>
        </is>
      </c>
      <c r="D5" s="5" t="inlineStr">
        <is>
          <t>Yes</t>
        </is>
      </c>
      <c r="E5" s="5" t="inlineStr">
        <is>
          <t>R,C,B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Implemented</t>
        </is>
      </c>
      <c r="I5" s="5" t="inlineStr">
        <is>
          <t>IMS-POL-001 section 3.2 sets responsible-AI principles; approved by the Trust Council.</t>
        </is>
      </c>
      <c r="J5" s="5" t="inlineStr">
        <is>
          <t>CEO</t>
        </is>
      </c>
      <c r="K5" s="5" t="inlineStr">
        <is>
          <t>5.1</t>
        </is>
      </c>
    </row>
    <row r="6">
      <c r="A6" s="5" t="inlineStr">
        <is>
          <t>A.2.3</t>
        </is>
      </c>
      <c r="B6" s="5" t="inlineStr">
        <is>
          <t>Alignment with other organisational policies</t>
        </is>
      </c>
      <c r="C6" s="5" t="inlineStr">
        <is>
          <t>Policies related to AI</t>
        </is>
      </c>
      <c r="D6" s="5" t="inlineStr">
        <is>
          <t>Yes</t>
        </is>
      </c>
      <c r="E6" s="5" t="inlineStr">
        <is>
          <t>B</t>
        </is>
      </c>
      <c r="F6" s="5" t="inlineStr">
        <is>
          <t>All</t>
        </is>
      </c>
      <c r="G6" s="5" t="inlineStr">
        <is>
          <t>—</t>
        </is>
      </c>
      <c r="H6" s="5" t="inlineStr">
        <is>
          <t>Implemented</t>
        </is>
      </c>
      <c r="I6" s="5" t="inlineStr">
        <is>
          <t>One integrated policy set; AI rules embedded in POL-002 to POL-006 rather than a separate silo.</t>
        </is>
      </c>
      <c r="J6" s="5" t="inlineStr">
        <is>
          <t>IMSC</t>
        </is>
      </c>
      <c r="K6" s="5" t="inlineStr">
        <is>
          <t>5.1</t>
        </is>
      </c>
    </row>
    <row r="7">
      <c r="A7" s="5" t="inlineStr">
        <is>
          <t>A.2.4</t>
        </is>
      </c>
      <c r="B7" s="5" t="inlineStr">
        <is>
          <t>Review of the AI policy</t>
        </is>
      </c>
      <c r="C7" s="5" t="inlineStr">
        <is>
          <t>Policies related to AI</t>
        </is>
      </c>
      <c r="D7" s="5" t="inlineStr">
        <is>
          <t>Yes</t>
        </is>
      </c>
      <c r="E7" s="5" t="inlineStr">
        <is>
          <t>B</t>
        </is>
      </c>
      <c r="F7" s="5" t="inlineStr">
        <is>
          <t>All</t>
        </is>
      </c>
      <c r="G7" s="5" t="inlineStr">
        <is>
          <t>—</t>
        </is>
      </c>
      <c r="H7" s="5" t="inlineStr">
        <is>
          <t>Implemented</t>
        </is>
      </c>
      <c r="I7" s="5" t="inlineStr">
        <is>
          <t>Yearly review and after major change (new model, new law) — IMS-PRO-008 input.</t>
        </is>
      </c>
      <c r="J7" s="5" t="inlineStr">
        <is>
          <t>CAIO</t>
        </is>
      </c>
      <c r="K7" s="5" t="inlineStr">
        <is>
          <t>5.1</t>
        </is>
      </c>
    </row>
    <row r="8">
      <c r="A8" s="5" t="inlineStr">
        <is>
          <t>A.3.2</t>
        </is>
      </c>
      <c r="B8" s="5" t="inlineStr">
        <is>
          <t>AI roles and responsibilities</t>
        </is>
      </c>
      <c r="C8" s="5" t="inlineStr">
        <is>
          <t>Internal organisation</t>
        </is>
      </c>
      <c r="D8" s="5" t="inlineStr">
        <is>
          <t>Yes</t>
        </is>
      </c>
      <c r="E8" s="5" t="inlineStr">
        <is>
          <t>B</t>
        </is>
      </c>
      <c r="F8" s="5" t="inlineStr">
        <is>
          <t>All</t>
        </is>
      </c>
      <c r="G8" s="5" t="inlineStr">
        <is>
          <t>All</t>
        </is>
      </c>
      <c r="H8" s="5" t="inlineStr">
        <is>
          <t>Implemented</t>
        </is>
      </c>
      <c r="I8" s="5" t="inlineStr">
        <is>
          <t>Head of AI as AIMS owner; named owner per AI system in IMS-REG-005; RACI in IMS-GOV-001.</t>
        </is>
      </c>
      <c r="J8" s="5" t="inlineStr">
        <is>
          <t>CEO</t>
        </is>
      </c>
      <c r="K8" s="5" t="inlineStr">
        <is>
          <t>5.2</t>
        </is>
      </c>
    </row>
    <row r="9">
      <c r="A9" s="5" t="inlineStr">
        <is>
          <t>A.3.3</t>
        </is>
      </c>
      <c r="B9" s="5" t="inlineStr">
        <is>
          <t>Reporting of concerns</t>
        </is>
      </c>
      <c r="C9" s="5" t="inlineStr">
        <is>
          <t>Internal organisation</t>
        </is>
      </c>
      <c r="D9" s="5" t="inlineStr">
        <is>
          <t>Yes</t>
        </is>
      </c>
      <c r="E9" s="5" t="inlineStr">
        <is>
          <t>R,L</t>
        </is>
      </c>
      <c r="F9" s="5" t="inlineStr">
        <is>
          <t>All</t>
        </is>
      </c>
      <c r="G9" s="5" t="inlineStr">
        <is>
          <t>RSK-AI-002, RSK-AI-003</t>
        </is>
      </c>
      <c r="H9" s="5" t="inlineStr">
        <is>
          <t>Implemented</t>
        </is>
      </c>
      <c r="I9" s="5" t="inlineStr">
        <is>
          <t>#trust-report, anonymous form, and an external address for artists and the public; no-retaliation rule.</t>
        </is>
      </c>
      <c r="J9" s="5" t="inlineStr">
        <is>
          <t>CAIO</t>
        </is>
      </c>
      <c r="K9" s="5" t="inlineStr">
        <is>
          <t>6.8</t>
        </is>
      </c>
    </row>
    <row r="10">
      <c r="A10" s="5" t="inlineStr">
        <is>
          <t>A.4.2</t>
        </is>
      </c>
      <c r="B10" s="5" t="inlineStr">
        <is>
          <t>Resource documentation</t>
        </is>
      </c>
      <c r="C10" s="5" t="inlineStr">
        <is>
          <t>Resources for AI systems</t>
        </is>
      </c>
      <c r="D10" s="5" t="inlineStr">
        <is>
          <t>Yes</t>
        </is>
      </c>
      <c r="E10" s="5" t="inlineStr">
        <is>
          <t>B</t>
        </is>
      </c>
      <c r="F10" s="5" t="inlineStr">
        <is>
          <t>All</t>
        </is>
      </c>
      <c r="G10" s="5" t="inlineStr">
        <is>
          <t>—</t>
        </is>
      </c>
      <c r="H10" s="5" t="inlineStr">
        <is>
          <t>Implemented</t>
        </is>
      </c>
      <c r="I10" s="5" t="inlineStr">
        <is>
          <t>'AI Resources' sheet in IMS-REG-005 lists data, tools, compute and people per system.</t>
        </is>
      </c>
      <c r="J10" s="5" t="inlineStr">
        <is>
          <t>HOD</t>
        </is>
      </c>
      <c r="K10" s="5" t="inlineStr">
        <is>
          <t>5.9</t>
        </is>
      </c>
    </row>
    <row r="11">
      <c r="A11" s="5" t="inlineStr">
        <is>
          <t>A.4.3</t>
        </is>
      </c>
      <c r="B11" s="5" t="inlineStr">
        <is>
          <t>Data resources</t>
        </is>
      </c>
      <c r="C11" s="5" t="inlineStr">
        <is>
          <t>Resources for AI systems</t>
        </is>
      </c>
      <c r="D11" s="5" t="inlineStr">
        <is>
          <t>Yes</t>
        </is>
      </c>
      <c r="E11" s="5" t="inlineStr">
        <is>
          <t>R,L</t>
        </is>
      </c>
      <c r="F11" s="5" t="inlineStr">
        <is>
          <t>AI-SYS-001, AI-SYS-003</t>
        </is>
      </c>
      <c r="G11" s="5" t="inlineStr">
        <is>
          <t>RSK-AI-001</t>
        </is>
      </c>
      <c r="H11" s="5" t="inlineStr">
        <is>
          <t>Implemented</t>
        </is>
      </c>
      <c r="I11" s="5" t="inlineStr">
        <is>
          <t>Dataset register with provenance, licence/consent status and intended use.</t>
        </is>
      </c>
      <c r="J11" s="5" t="inlineStr">
        <is>
          <t>HOD</t>
        </is>
      </c>
      <c r="K11" s="5" t="inlineStr">
        <is>
          <t>5.9, 5.32</t>
        </is>
      </c>
    </row>
    <row r="12">
      <c r="A12" s="5" t="inlineStr">
        <is>
          <t>A.4.4</t>
        </is>
      </c>
      <c r="B12" s="5" t="inlineStr">
        <is>
          <t>Tooling resources</t>
        </is>
      </c>
      <c r="C12" s="5" t="inlineStr">
        <is>
          <t>Resources for AI systems</t>
        </is>
      </c>
      <c r="D12" s="5" t="inlineStr">
        <is>
          <t>Yes</t>
        </is>
      </c>
      <c r="E12" s="5" t="inlineStr">
        <is>
          <t>B</t>
        </is>
      </c>
      <c r="F12" s="5" t="inlineStr">
        <is>
          <t>AI-SYS-001, AI-SYS-002, AI-SYS-003</t>
        </is>
      </c>
      <c r="G12" s="5" t="inlineStr">
        <is>
          <t>—</t>
        </is>
      </c>
      <c r="H12" s="5" t="inlineStr">
        <is>
          <t>Implemented</t>
        </is>
      </c>
      <c r="I12" s="5" t="inlineStr">
        <is>
          <t>Training, evaluation and MLOps tools listed with versions in IMS-REG-005.</t>
        </is>
      </c>
      <c r="J12" s="5" t="inlineStr">
        <is>
          <t>HOD</t>
        </is>
      </c>
      <c r="K12" s="5" t="inlineStr">
        <is>
          <t>5.9</t>
        </is>
      </c>
    </row>
    <row r="13">
      <c r="A13" s="5" t="inlineStr">
        <is>
          <t>A.4.5</t>
        </is>
      </c>
      <c r="B13" s="5" t="inlineStr">
        <is>
          <t>System and computing resources</t>
        </is>
      </c>
      <c r="C13" s="5" t="inlineStr">
        <is>
          <t>Resources for AI systems</t>
        </is>
      </c>
      <c r="D13" s="5" t="inlineStr">
        <is>
          <t>Yes</t>
        </is>
      </c>
      <c r="E13" s="5" t="inlineStr">
        <is>
          <t>B</t>
        </is>
      </c>
      <c r="F13" s="5" t="inlineStr">
        <is>
          <t>AI-SYS-001, AI-SYS-003</t>
        </is>
      </c>
      <c r="G13" s="5" t="inlineStr">
        <is>
          <t>RSK-IS-004</t>
        </is>
      </c>
      <c r="H13" s="5" t="inlineStr">
        <is>
          <t>Implemented</t>
        </is>
      </c>
      <c r="I13" s="5" t="inlineStr">
        <is>
          <t>GPU and API quotas, regions and capacity limits documented; energy use estimated per training run.</t>
        </is>
      </c>
      <c r="J13" s="5" t="inlineStr">
        <is>
          <t>SRE</t>
        </is>
      </c>
      <c r="K13" s="5" t="inlineStr">
        <is>
          <t>8.6</t>
        </is>
      </c>
    </row>
    <row r="14">
      <c r="A14" s="5" t="inlineStr">
        <is>
          <t>A.4.6</t>
        </is>
      </c>
      <c r="B14" s="5" t="inlineStr">
        <is>
          <t>Human resources</t>
        </is>
      </c>
      <c r="C14" s="5" t="inlineStr">
        <is>
          <t>Resources for AI systems</t>
        </is>
      </c>
      <c r="D14" s="5" t="inlineStr">
        <is>
          <t>Yes</t>
        </is>
      </c>
      <c r="E14" s="5" t="inlineStr">
        <is>
          <t>R,L</t>
        </is>
      </c>
      <c r="F14" s="5" t="inlineStr">
        <is>
          <t>All</t>
        </is>
      </c>
      <c r="G14" s="5" t="inlineStr">
        <is>
          <t>—</t>
        </is>
      </c>
      <c r="H14" s="5" t="inlineStr">
        <is>
          <t>Partially implemented</t>
        </is>
      </c>
      <c r="I14" s="5" t="inlineStr">
        <is>
          <t>AI competence matrix in IMS-REG-004; AI-literacy training (EU AI Act Art. 4) rolling out to all staff.</t>
        </is>
      </c>
      <c r="J14" s="5" t="inlineStr">
        <is>
          <t>HOP</t>
        </is>
      </c>
      <c r="K14" s="5" t="inlineStr">
        <is>
          <t>6.3</t>
        </is>
      </c>
    </row>
    <row r="15">
      <c r="A15" s="5" t="inlineStr">
        <is>
          <t>A.5.2</t>
        </is>
      </c>
      <c r="B15" s="5" t="inlineStr">
        <is>
          <t>AI system impact assessment process</t>
        </is>
      </c>
      <c r="C15" s="5" t="inlineStr">
        <is>
          <t>Assessing impacts</t>
        </is>
      </c>
      <c r="D15" s="5" t="inlineStr">
        <is>
          <t>Yes</t>
        </is>
      </c>
      <c r="E15" s="5" t="inlineStr">
        <is>
          <t>R,L</t>
        </is>
      </c>
      <c r="F15" s="5" t="inlineStr">
        <is>
          <t>All</t>
        </is>
      </c>
      <c r="G15" s="5" t="inlineStr">
        <is>
          <t>RSK-AI-002, RSK-AI-003</t>
        </is>
      </c>
      <c r="H15" s="5" t="inlineStr">
        <is>
          <t>Implemented</t>
        </is>
      </c>
      <c r="I15" s="5" t="inlineStr">
        <is>
          <t>IMS-PRO-002 defines when and how impact assessments are done.</t>
        </is>
      </c>
      <c r="J15" s="5" t="inlineStr">
        <is>
          <t>CAIO</t>
        </is>
      </c>
      <c r="K15" s="5" t="inlineStr">
        <is>
          <t>—</t>
        </is>
      </c>
    </row>
    <row r="16">
      <c r="A16" s="5" t="inlineStr">
        <is>
          <t>A.5.3</t>
        </is>
      </c>
      <c r="B16" s="5" t="inlineStr">
        <is>
          <t>Documentation of AI system impact assessments</t>
        </is>
      </c>
      <c r="C16" s="5" t="inlineStr">
        <is>
          <t>Assessing impacts</t>
        </is>
      </c>
      <c r="D16" s="5" t="inlineStr">
        <is>
          <t>Yes</t>
        </is>
      </c>
      <c r="E16" s="5" t="inlineStr">
        <is>
          <t>L</t>
        </is>
      </c>
      <c r="F16" s="5" t="inlineStr">
        <is>
          <t>All</t>
        </is>
      </c>
      <c r="G16" s="5" t="inlineStr">
        <is>
          <t>—</t>
        </is>
      </c>
      <c r="H16" s="5" t="inlineStr">
        <is>
          <t>Implemented</t>
        </is>
      </c>
      <c r="I16" s="5" t="inlineStr">
        <is>
          <t>AIIA records kept for system life + 5 years; AIIA-2026-01 (StoryFrame) and AIIA-2026-02 (ArtistMatch).</t>
        </is>
      </c>
      <c r="J16" s="5" t="inlineStr">
        <is>
          <t>CAIO</t>
        </is>
      </c>
      <c r="K16" s="5" t="inlineStr">
        <is>
          <t>5.33</t>
        </is>
      </c>
    </row>
    <row r="17">
      <c r="A17" s="5" t="inlineStr">
        <is>
          <t>A.5.4</t>
        </is>
      </c>
      <c r="B17" s="5" t="inlineStr">
        <is>
          <t>Impact on individuals or groups of individuals</t>
        </is>
      </c>
      <c r="C17" s="5" t="inlineStr">
        <is>
          <t>Assessing impacts</t>
        </is>
      </c>
      <c r="D17" s="5" t="inlineStr">
        <is>
          <t>Yes</t>
        </is>
      </c>
      <c r="E17" s="5" t="inlineStr">
        <is>
          <t>R,L</t>
        </is>
      </c>
      <c r="F17" s="5" t="inlineStr">
        <is>
          <t>All</t>
        </is>
      </c>
      <c r="G17" s="5" t="inlineStr">
        <is>
          <t>RSK-AI-002, RSK-AI-003</t>
        </is>
      </c>
      <c r="H17" s="5" t="inlineStr">
        <is>
          <t>Implemented</t>
        </is>
      </c>
      <c r="I17" s="5" t="inlineStr">
        <is>
          <t>AIIA covers artists, customers, depicted people and audiences; fairness tests for ArtistMatch.</t>
        </is>
      </c>
      <c r="J17" s="5" t="inlineStr">
        <is>
          <t>CAIO</t>
        </is>
      </c>
      <c r="K17" s="5" t="inlineStr">
        <is>
          <t>—</t>
        </is>
      </c>
    </row>
    <row r="18">
      <c r="A18" s="5" t="inlineStr">
        <is>
          <t>A.5.5</t>
        </is>
      </c>
      <c r="B18" s="5" t="inlineStr">
        <is>
          <t>Societal impacts of AI systems</t>
        </is>
      </c>
      <c r="C18" s="5" t="inlineStr">
        <is>
          <t>Assessing impacts</t>
        </is>
      </c>
      <c r="D18" s="5" t="inlineStr">
        <is>
          <t>Yes</t>
        </is>
      </c>
      <c r="E18" s="5" t="inlineStr">
        <is>
          <t>R,B</t>
        </is>
      </c>
      <c r="F18" s="5" t="inlineStr">
        <is>
          <t>AI-SYS-001, AI-SYS-003</t>
        </is>
      </c>
      <c r="G18" s="5" t="inlineStr">
        <is>
          <t>RSK-AI-002</t>
        </is>
      </c>
      <c r="H18" s="5" t="inlineStr">
        <is>
          <t>Implemented</t>
        </is>
      </c>
      <c r="I18" s="5" t="inlineStr">
        <is>
          <t>AIIA covers misinformation, creative-labour market effects and environmental footprint.</t>
        </is>
      </c>
      <c r="J18" s="5" t="inlineStr">
        <is>
          <t>CAIO</t>
        </is>
      </c>
      <c r="K18" s="5" t="inlineStr">
        <is>
          <t>—</t>
        </is>
      </c>
    </row>
    <row r="19">
      <c r="A19" s="5" t="inlineStr">
        <is>
          <t>A.6.1.2</t>
        </is>
      </c>
      <c r="B19" s="5" t="inlineStr">
        <is>
          <t>Objectives for responsible development</t>
        </is>
      </c>
      <c r="C19" s="5" t="inlineStr">
        <is>
          <t>AI system life cycle</t>
        </is>
      </c>
      <c r="D19" s="5" t="inlineStr">
        <is>
          <t>Yes</t>
        </is>
      </c>
      <c r="E19" s="5" t="inlineStr">
        <is>
          <t>B</t>
        </is>
      </c>
      <c r="F19" s="5" t="inlineStr">
        <is>
          <t>AI-SYS-001, AI-SYS-002, AI-SYS-003</t>
        </is>
      </c>
      <c r="G19" s="5" t="inlineStr">
        <is>
          <t>All</t>
        </is>
      </c>
      <c r="H19" s="5" t="inlineStr">
        <is>
          <t>Implemented</t>
        </is>
      </c>
      <c r="I19" s="5" t="inlineStr">
        <is>
          <t>Responsible-development objectives in IMS-POL-002 and OBJ-02, OBJ-03, OBJ-06.</t>
        </is>
      </c>
      <c r="J19" s="5" t="inlineStr">
        <is>
          <t>CAIO</t>
        </is>
      </c>
      <c r="K19" s="5" t="inlineStr">
        <is>
          <t>—</t>
        </is>
      </c>
    </row>
    <row r="20">
      <c r="A20" s="5" t="inlineStr">
        <is>
          <t>A.6.1.3</t>
        </is>
      </c>
      <c r="B20" s="5" t="inlineStr">
        <is>
          <t>Processes for responsible design and development</t>
        </is>
      </c>
      <c r="C20" s="5" t="inlineStr">
        <is>
          <t>AI system life cycle</t>
        </is>
      </c>
      <c r="D20" s="5" t="inlineStr">
        <is>
          <t>Yes</t>
        </is>
      </c>
      <c r="E20" s="5" t="inlineStr">
        <is>
          <t>R</t>
        </is>
      </c>
      <c r="F20" s="5" t="inlineStr">
        <is>
          <t>AI-SYS-001, AI-SYS-002, AI-SYS-003</t>
        </is>
      </c>
      <c r="G20" s="5" t="inlineStr">
        <is>
          <t>All</t>
        </is>
      </c>
      <c r="H20" s="5" t="inlineStr">
        <is>
          <t>Implemented</t>
        </is>
      </c>
      <c r="I20" s="5" t="inlineStr">
        <is>
          <t>Integrated lifecycle with gates and the AI Release Review (IMS-POL-002).</t>
        </is>
      </c>
      <c r="J20" s="5" t="inlineStr">
        <is>
          <t>CTO</t>
        </is>
      </c>
      <c r="K20" s="5" t="inlineStr">
        <is>
          <t>8.25</t>
        </is>
      </c>
    </row>
    <row r="21">
      <c r="A21" s="5" t="inlineStr">
        <is>
          <t>A.6.2.2</t>
        </is>
      </c>
      <c r="B21" s="5" t="inlineStr">
        <is>
          <t>AI system requirements and specification</t>
        </is>
      </c>
      <c r="C21" s="5" t="inlineStr">
        <is>
          <t>AI system life cycle</t>
        </is>
      </c>
      <c r="D21" s="5" t="inlineStr">
        <is>
          <t>Yes</t>
        </is>
      </c>
      <c r="E21" s="5" t="inlineStr">
        <is>
          <t>R</t>
        </is>
      </c>
      <c r="F21" s="5" t="inlineStr">
        <is>
          <t>AI-SYS-001, AI-SYS-002, AI-SYS-003</t>
        </is>
      </c>
      <c r="G21" s="5" t="inlineStr">
        <is>
          <t>RSK-AI-004</t>
        </is>
      </c>
      <c r="H21" s="5" t="inlineStr">
        <is>
          <t>Implemented</t>
        </is>
      </c>
      <c r="I21" s="5" t="inlineStr">
        <is>
          <t>Requirements template includes intended use, misuse cases, performance, fairness and safety criteria.</t>
        </is>
      </c>
      <c r="J21" s="5" t="inlineStr">
        <is>
          <t>CTO</t>
        </is>
      </c>
      <c r="K21" s="5" t="inlineStr">
        <is>
          <t>8.26</t>
        </is>
      </c>
    </row>
    <row r="22">
      <c r="A22" s="5" t="inlineStr">
        <is>
          <t>A.6.2.3</t>
        </is>
      </c>
      <c r="B22" s="5" t="inlineStr">
        <is>
          <t>Documentation of design and development</t>
        </is>
      </c>
      <c r="C22" s="5" t="inlineStr">
        <is>
          <t>AI system life cycle</t>
        </is>
      </c>
      <c r="D22" s="5" t="inlineStr">
        <is>
          <t>Yes</t>
        </is>
      </c>
      <c r="E22" s="5" t="inlineStr">
        <is>
          <t>B</t>
        </is>
      </c>
      <c r="F22" s="5" t="inlineStr">
        <is>
          <t>AI-SYS-001, AI-SYS-002, AI-SYS-003</t>
        </is>
      </c>
      <c r="G22" s="5" t="inlineStr">
        <is>
          <t>—</t>
        </is>
      </c>
      <c r="H22" s="5" t="inlineStr">
        <is>
          <t>Implemented</t>
        </is>
      </c>
      <c r="I22" s="5" t="inlineStr">
        <is>
          <t>Design docs and model cards in the repository; decisions logged.</t>
        </is>
      </c>
      <c r="J22" s="5" t="inlineStr">
        <is>
          <t>HOD</t>
        </is>
      </c>
      <c r="K22" s="5" t="inlineStr">
        <is>
          <t>8.27</t>
        </is>
      </c>
    </row>
    <row r="23">
      <c r="A23" s="5" t="inlineStr">
        <is>
          <t>A.6.2.4</t>
        </is>
      </c>
      <c r="B23" s="5" t="inlineStr">
        <is>
          <t>Verification and validation</t>
        </is>
      </c>
      <c r="C23" s="5" t="inlineStr">
        <is>
          <t>AI system life cycle</t>
        </is>
      </c>
      <c r="D23" s="5" t="inlineStr">
        <is>
          <t>Yes</t>
        </is>
      </c>
      <c r="E23" s="5" t="inlineStr">
        <is>
          <t>R</t>
        </is>
      </c>
      <c r="F23" s="5" t="inlineStr">
        <is>
          <t>AI-SYS-001, AI-SYS-002, AI-SYS-003</t>
        </is>
      </c>
      <c r="G23" s="5" t="inlineStr">
        <is>
          <t>RSK-AI-002, RSK-AI-003, RSK-AI-004</t>
        </is>
      </c>
      <c r="H23" s="5" t="inlineStr">
        <is>
          <t>Implemented</t>
        </is>
      </c>
      <c r="I23" s="5" t="inlineStr">
        <is>
          <t>Evaluation suites (quality, fairness, safety red-teaming) with release thresholds.</t>
        </is>
      </c>
      <c r="J23" s="5" t="inlineStr">
        <is>
          <t>HOD</t>
        </is>
      </c>
      <c r="K23" s="5" t="inlineStr">
        <is>
          <t>8.29</t>
        </is>
      </c>
    </row>
    <row r="24">
      <c r="A24" s="5" t="inlineStr">
        <is>
          <t>A.6.2.5</t>
        </is>
      </c>
      <c r="B24" s="5" t="inlineStr">
        <is>
          <t>Deployment</t>
        </is>
      </c>
      <c r="C24" s="5" t="inlineStr">
        <is>
          <t>AI system life cycle</t>
        </is>
      </c>
      <c r="D24" s="5" t="inlineStr">
        <is>
          <t>Yes</t>
        </is>
      </c>
      <c r="E24" s="5" t="inlineStr">
        <is>
          <t>R</t>
        </is>
      </c>
      <c r="F24" s="5" t="inlineStr">
        <is>
          <t>AI-SYS-001, AI-SYS-002, AI-SYS-003</t>
        </is>
      </c>
      <c r="G24" s="5" t="inlineStr">
        <is>
          <t>RSK-AI-005</t>
        </is>
      </c>
      <c r="H24" s="5" t="inlineStr">
        <is>
          <t>Implemented</t>
        </is>
      </c>
      <c r="I24" s="5" t="inlineStr">
        <is>
          <t>Staged roll-out, feature flags and rollback plan approved at the AI Release Review.</t>
        </is>
      </c>
      <c r="J24" s="5" t="inlineStr">
        <is>
          <t>CTO</t>
        </is>
      </c>
      <c r="K24" s="5" t="inlineStr">
        <is>
          <t>8.32</t>
        </is>
      </c>
    </row>
    <row r="25">
      <c r="A25" s="5" t="inlineStr">
        <is>
          <t>A.6.2.6</t>
        </is>
      </c>
      <c r="B25" s="5" t="inlineStr">
        <is>
          <t>Operation and monitoring</t>
        </is>
      </c>
      <c r="C25" s="5" t="inlineStr">
        <is>
          <t>AI system life cycle</t>
        </is>
      </c>
      <c r="D25" s="5" t="inlineStr">
        <is>
          <t>Yes</t>
        </is>
      </c>
      <c r="E25" s="5" t="inlineStr">
        <is>
          <t>R</t>
        </is>
      </c>
      <c r="F25" s="5" t="inlineStr">
        <is>
          <t>All</t>
        </is>
      </c>
      <c r="G25" s="5" t="inlineStr">
        <is>
          <t>RSK-AI-002, RSK-AI-003, RSK-AI-005</t>
        </is>
      </c>
      <c r="H25" s="5" t="inlineStr">
        <is>
          <t>Partially implemented</t>
        </is>
      </c>
      <c r="I25" s="5" t="inlineStr">
        <is>
          <t>Drift, abuse and content-safety canaries monitored; automatic fairness alerting planned (OFI-2026-05).</t>
        </is>
      </c>
      <c r="J25" s="5" t="inlineStr">
        <is>
          <t>CAIO</t>
        </is>
      </c>
      <c r="K25" s="5" t="inlineStr">
        <is>
          <t>8.16</t>
        </is>
      </c>
    </row>
    <row r="26">
      <c r="A26" s="5" t="inlineStr">
        <is>
          <t>A.6.2.7</t>
        </is>
      </c>
      <c r="B26" s="5" t="inlineStr">
        <is>
          <t>Technical documentation</t>
        </is>
      </c>
      <c r="C26" s="5" t="inlineStr">
        <is>
          <t>AI system life cycle</t>
        </is>
      </c>
      <c r="D26" s="5" t="inlineStr">
        <is>
          <t>Yes</t>
        </is>
      </c>
      <c r="E26" s="5" t="inlineStr">
        <is>
          <t>C,L</t>
        </is>
      </c>
      <c r="F26" s="5" t="inlineStr">
        <is>
          <t>AI-SYS-001, AI-SYS-002, AI-SYS-003</t>
        </is>
      </c>
      <c r="G26" s="5" t="inlineStr">
        <is>
          <t>—</t>
        </is>
      </c>
      <c r="H26" s="5" t="inlineStr">
        <is>
          <t>Implemented</t>
        </is>
      </c>
      <c r="I26" s="5" t="inlineStr">
        <is>
          <t>Model cards and system documentation for customers and auditors (IMS-PRO-004).</t>
        </is>
      </c>
      <c r="J26" s="5" t="inlineStr">
        <is>
          <t>HOD</t>
        </is>
      </c>
      <c r="K26" s="5" t="inlineStr">
        <is>
          <t>5.37</t>
        </is>
      </c>
    </row>
    <row r="27">
      <c r="A27" s="5" t="inlineStr">
        <is>
          <t>A.6.2.8</t>
        </is>
      </c>
      <c r="B27" s="5" t="inlineStr">
        <is>
          <t>Recording of event logs</t>
        </is>
      </c>
      <c r="C27" s="5" t="inlineStr">
        <is>
          <t>AI system life cycle</t>
        </is>
      </c>
      <c r="D27" s="5" t="inlineStr">
        <is>
          <t>Yes</t>
        </is>
      </c>
      <c r="E27" s="5" t="inlineStr">
        <is>
          <t>R,L</t>
        </is>
      </c>
      <c r="F27" s="5" t="inlineStr">
        <is>
          <t>AI-SYS-001, AI-SYS-002, AI-SYS-003</t>
        </is>
      </c>
      <c r="G27" s="5" t="inlineStr">
        <is>
          <t>RSK-AI-002</t>
        </is>
      </c>
      <c r="H27" s="5" t="inlineStr">
        <is>
          <t>Implemented</t>
        </is>
      </c>
      <c r="I27" s="5" t="inlineStr">
        <is>
          <t>Prompt, output, moderation decision and model version logged with retention limits.</t>
        </is>
      </c>
      <c r="J27" s="5" t="inlineStr">
        <is>
          <t>SRE</t>
        </is>
      </c>
      <c r="K27" s="5" t="inlineStr">
        <is>
          <t>8.15</t>
        </is>
      </c>
    </row>
    <row r="28">
      <c r="A28" s="5" t="inlineStr">
        <is>
          <t>A.7.2</t>
        </is>
      </c>
      <c r="B28" s="5" t="inlineStr">
        <is>
          <t>Data for development and enhancement</t>
        </is>
      </c>
      <c r="C28" s="5" t="inlineStr">
        <is>
          <t>Data for AI systems</t>
        </is>
      </c>
      <c r="D28" s="5" t="inlineStr">
        <is>
          <t>Yes</t>
        </is>
      </c>
      <c r="E28" s="5" t="inlineStr">
        <is>
          <t>R,L</t>
        </is>
      </c>
      <c r="F28" s="5" t="inlineStr">
        <is>
          <t>AI-SYS-001, AI-SYS-003</t>
        </is>
      </c>
      <c r="G28" s="5" t="inlineStr">
        <is>
          <t>RSK-AI-001</t>
        </is>
      </c>
      <c r="H28" s="5" t="inlineStr">
        <is>
          <t>Implemented</t>
        </is>
      </c>
      <c r="I28" s="5" t="inlineStr">
        <is>
          <t>IMS-POL-003 data-for-AI rules; customer data never used for training without opt-in.</t>
        </is>
      </c>
      <c r="J28" s="5" t="inlineStr">
        <is>
          <t>HOD</t>
        </is>
      </c>
      <c r="K28" s="5" t="inlineStr">
        <is>
          <t>5.34</t>
        </is>
      </c>
    </row>
    <row r="29">
      <c r="A29" s="5" t="inlineStr">
        <is>
          <t>A.7.3</t>
        </is>
      </c>
      <c r="B29" s="5" t="inlineStr">
        <is>
          <t>Acquisition of data</t>
        </is>
      </c>
      <c r="C29" s="5" t="inlineStr">
        <is>
          <t>Data for AI systems</t>
        </is>
      </c>
      <c r="D29" s="5" t="inlineStr">
        <is>
          <t>Yes</t>
        </is>
      </c>
      <c r="E29" s="5" t="inlineStr">
        <is>
          <t>R,L</t>
        </is>
      </c>
      <c r="F29" s="5" t="inlineStr">
        <is>
          <t>AI-SYS-001, AI-SYS-003</t>
        </is>
      </c>
      <c r="G29" s="5" t="inlineStr">
        <is>
          <t>RSK-AI-001</t>
        </is>
      </c>
      <c r="H29" s="5" t="inlineStr">
        <is>
          <t>Implemented</t>
        </is>
      </c>
      <c r="I29" s="5" t="inlineStr">
        <is>
          <t>Licence or consent required before acquisition; EU text-and-data-mining opt-outs honoured.</t>
        </is>
      </c>
      <c r="J29" s="5" t="inlineStr">
        <is>
          <t>HOD</t>
        </is>
      </c>
      <c r="K29" s="5" t="inlineStr">
        <is>
          <t>5.32</t>
        </is>
      </c>
    </row>
    <row r="30">
      <c r="A30" s="5" t="inlineStr">
        <is>
          <t>A.7.4</t>
        </is>
      </c>
      <c r="B30" s="5" t="inlineStr">
        <is>
          <t>Quality of data</t>
        </is>
      </c>
      <c r="C30" s="5" t="inlineStr">
        <is>
          <t>Data for AI systems</t>
        </is>
      </c>
      <c r="D30" s="5" t="inlineStr">
        <is>
          <t>Yes</t>
        </is>
      </c>
      <c r="E30" s="5" t="inlineStr">
        <is>
          <t>R</t>
        </is>
      </c>
      <c r="F30" s="5" t="inlineStr">
        <is>
          <t>AI-SYS-001, AI-SYS-003</t>
        </is>
      </c>
      <c r="G30" s="5" t="inlineStr">
        <is>
          <t>RSK-AI-003</t>
        </is>
      </c>
      <c r="H30" s="5" t="inlineStr">
        <is>
          <t>Implemented</t>
        </is>
      </c>
      <c r="I30" s="5" t="inlineStr">
        <is>
          <t>Quality checks (duplicates, labels, representativeness) recorded per dataset version.</t>
        </is>
      </c>
      <c r="J30" s="5" t="inlineStr">
        <is>
          <t>HOD</t>
        </is>
      </c>
      <c r="K30" s="5" t="inlineStr">
        <is>
          <t>—</t>
        </is>
      </c>
    </row>
    <row r="31">
      <c r="A31" s="5" t="inlineStr">
        <is>
          <t>A.7.5</t>
        </is>
      </c>
      <c r="B31" s="5" t="inlineStr">
        <is>
          <t>Data provenance</t>
        </is>
      </c>
      <c r="C31" s="5" t="inlineStr">
        <is>
          <t>Data for AI systems</t>
        </is>
      </c>
      <c r="D31" s="5" t="inlineStr">
        <is>
          <t>Yes</t>
        </is>
      </c>
      <c r="E31" s="5" t="inlineStr">
        <is>
          <t>R,L</t>
        </is>
      </c>
      <c r="F31" s="5" t="inlineStr">
        <is>
          <t>AI-SYS-001, AI-SYS-003</t>
        </is>
      </c>
      <c r="G31" s="5" t="inlineStr">
        <is>
          <t>RSK-AI-001</t>
        </is>
      </c>
      <c r="H31" s="5" t="inlineStr">
        <is>
          <t>Implemented</t>
        </is>
      </c>
      <c r="I31" s="5" t="inlineStr">
        <is>
          <t>Consent and licence ledger links every training image to its source; 41 images without a verified record were removed in 2026.</t>
        </is>
      </c>
      <c r="J31" s="5" t="inlineStr">
        <is>
          <t>HOD</t>
        </is>
      </c>
      <c r="K31" s="5" t="inlineStr">
        <is>
          <t>5.32</t>
        </is>
      </c>
    </row>
    <row r="32">
      <c r="A32" s="5" t="inlineStr">
        <is>
          <t>A.7.6</t>
        </is>
      </c>
      <c r="B32" s="5" t="inlineStr">
        <is>
          <t>Data preparation</t>
        </is>
      </c>
      <c r="C32" s="5" t="inlineStr">
        <is>
          <t>Data for AI systems</t>
        </is>
      </c>
      <c r="D32" s="5" t="inlineStr">
        <is>
          <t>Yes</t>
        </is>
      </c>
      <c r="E32" s="5" t="inlineStr">
        <is>
          <t>R</t>
        </is>
      </c>
      <c r="F32" s="5" t="inlineStr">
        <is>
          <t>AI-SYS-001, AI-SYS-003</t>
        </is>
      </c>
      <c r="G32" s="5" t="inlineStr">
        <is>
          <t>RSK-AI-003</t>
        </is>
      </c>
      <c r="H32" s="5" t="inlineStr">
        <is>
          <t>Implemented</t>
        </is>
      </c>
      <c r="I32" s="5" t="inlineStr">
        <is>
          <t>Documented, versioned preparation pipelines; personal data removed or masked.</t>
        </is>
      </c>
      <c r="J32" s="5" t="inlineStr">
        <is>
          <t>HOD</t>
        </is>
      </c>
      <c r="K32" s="5" t="inlineStr">
        <is>
          <t>8.11</t>
        </is>
      </c>
    </row>
    <row r="33">
      <c r="A33" s="5" t="inlineStr">
        <is>
          <t>A.8.2</t>
        </is>
      </c>
      <c r="B33" s="5" t="inlineStr">
        <is>
          <t>System documentation and information for users</t>
        </is>
      </c>
      <c r="C33" s="5" t="inlineStr">
        <is>
          <t>Information for interested parties</t>
        </is>
      </c>
      <c r="D33" s="5" t="inlineStr">
        <is>
          <t>Yes</t>
        </is>
      </c>
      <c r="E33" s="5" t="inlineStr">
        <is>
          <t>L,C</t>
        </is>
      </c>
      <c r="F33" s="5" t="inlineStr">
        <is>
          <t>AI-SYS-001, AI-SYS-002, AI-SYS-003</t>
        </is>
      </c>
      <c r="G33" s="5" t="inlineStr">
        <is>
          <t>RSK-AI-002</t>
        </is>
      </c>
      <c r="H33" s="5" t="inlineStr">
        <is>
          <t>Implemented</t>
        </is>
      </c>
      <c r="I33" s="5" t="inlineStr">
        <is>
          <t>In-product AI notices, 'AI-assisted' labels, C2PA credentials, and a public 'How ArtistMatch works' page.</t>
        </is>
      </c>
      <c r="J33" s="5" t="inlineStr">
        <is>
          <t>CAIO</t>
        </is>
      </c>
      <c r="K33" s="5" t="inlineStr">
        <is>
          <t>—</t>
        </is>
      </c>
    </row>
    <row r="34">
      <c r="A34" s="5" t="inlineStr">
        <is>
          <t>A.8.3</t>
        </is>
      </c>
      <c r="B34" s="5" t="inlineStr">
        <is>
          <t>External reporting</t>
        </is>
      </c>
      <c r="C34" s="5" t="inlineStr">
        <is>
          <t>Information for interested parties</t>
        </is>
      </c>
      <c r="D34" s="5" t="inlineStr">
        <is>
          <t>Yes</t>
        </is>
      </c>
      <c r="E34" s="5" t="inlineStr">
        <is>
          <t>L,B</t>
        </is>
      </c>
      <c r="F34" s="5" t="inlineStr">
        <is>
          <t>All</t>
        </is>
      </c>
      <c r="G34" s="5" t="inlineStr">
        <is>
          <t>RSK-AI-002</t>
        </is>
      </c>
      <c r="H34" s="5" t="inlineStr">
        <is>
          <t>Implemented</t>
        </is>
      </c>
      <c r="I34" s="5" t="inlineStr">
        <is>
          <t>Public form for reporting harmful outputs or rights concerns; reviewed within 2 working days.</t>
        </is>
      </c>
      <c r="J34" s="5" t="inlineStr">
        <is>
          <t>CREA</t>
        </is>
      </c>
      <c r="K34" s="5" t="inlineStr">
        <is>
          <t>6.8</t>
        </is>
      </c>
    </row>
    <row r="35">
      <c r="A35" s="5" t="inlineStr">
        <is>
          <t>A.8.4</t>
        </is>
      </c>
      <c r="B35" s="5" t="inlineStr">
        <is>
          <t>Communication of incidents</t>
        </is>
      </c>
      <c r="C35" s="5" t="inlineStr">
        <is>
          <t>Information for interested parties</t>
        </is>
      </c>
      <c r="D35" s="5" t="inlineStr">
        <is>
          <t>Yes</t>
        </is>
      </c>
      <c r="E35" s="5" t="inlineStr">
        <is>
          <t>L,C</t>
        </is>
      </c>
      <c r="F35" s="5" t="inlineStr">
        <is>
          <t>All</t>
        </is>
      </c>
      <c r="G35" s="5" t="inlineStr">
        <is>
          <t>All</t>
        </is>
      </c>
      <c r="H35" s="5" t="inlineStr">
        <is>
          <t>Implemented</t>
        </is>
      </c>
      <c r="I35" s="5" t="inlineStr">
        <is>
          <t>Incident communication steps and templates in IMS-PRO-005.</t>
        </is>
      </c>
      <c r="J35" s="5" t="inlineStr">
        <is>
          <t>CISO</t>
        </is>
      </c>
      <c r="K35" s="5" t="inlineStr">
        <is>
          <t>5.26</t>
        </is>
      </c>
    </row>
    <row r="36">
      <c r="A36" s="5" t="inlineStr">
        <is>
          <t>A.8.5</t>
        </is>
      </c>
      <c r="B36" s="5" t="inlineStr">
        <is>
          <t>Information for interested parties</t>
        </is>
      </c>
      <c r="C36" s="5" t="inlineStr">
        <is>
          <t>Information for interested parties</t>
        </is>
      </c>
      <c r="D36" s="5" t="inlineStr">
        <is>
          <t>Yes</t>
        </is>
      </c>
      <c r="E36" s="5" t="inlineStr">
        <is>
          <t>L,C</t>
        </is>
      </c>
      <c r="F36" s="5" t="inlineStr">
        <is>
          <t>All</t>
        </is>
      </c>
      <c r="G36" s="5" t="inlineStr">
        <is>
          <t>—</t>
        </is>
      </c>
      <c r="H36" s="5" t="inlineStr">
        <is>
          <t>Implemented</t>
        </is>
      </c>
      <c r="I36" s="5" t="inlineStr">
        <is>
          <t>Obligations to customers, artists and regulators listed in IMS-REG-001 and the communication plan (IMS-REG-004).</t>
        </is>
      </c>
      <c r="J36" s="5" t="inlineStr">
        <is>
          <t>DPO</t>
        </is>
      </c>
      <c r="K36" s="5" t="inlineStr">
        <is>
          <t>5.31</t>
        </is>
      </c>
    </row>
    <row r="37">
      <c r="A37" s="5" t="inlineStr">
        <is>
          <t>A.9.2</t>
        </is>
      </c>
      <c r="B37" s="5" t="inlineStr">
        <is>
          <t>Processes for responsible use of AI systems</t>
        </is>
      </c>
      <c r="C37" s="5" t="inlineStr">
        <is>
          <t>Use of AI systems</t>
        </is>
      </c>
      <c r="D37" s="5" t="inlineStr">
        <is>
          <t>Yes</t>
        </is>
      </c>
      <c r="E37" s="5" t="inlineStr">
        <is>
          <t>R</t>
        </is>
      </c>
      <c r="F37" s="5" t="inlineStr">
        <is>
          <t>AI-SYS-004, AI-SYS-005</t>
        </is>
      </c>
      <c r="G37" s="5" t="inlineStr">
        <is>
          <t>RSK-IS-003</t>
        </is>
      </c>
      <c r="H37" s="5" t="inlineStr">
        <is>
          <t>Implemented</t>
        </is>
      </c>
      <c r="I37" s="5" t="inlineStr">
        <is>
          <t>Generative-AI rules in IMS-POL-005; approved-tools list.</t>
        </is>
      </c>
      <c r="J37" s="5" t="inlineStr">
        <is>
          <t>CISO</t>
        </is>
      </c>
      <c r="K37" s="5" t="inlineStr">
        <is>
          <t>5.10</t>
        </is>
      </c>
    </row>
    <row r="38">
      <c r="A38" s="5" t="inlineStr">
        <is>
          <t>A.9.3</t>
        </is>
      </c>
      <c r="B38" s="5" t="inlineStr">
        <is>
          <t>Objectives for responsible use</t>
        </is>
      </c>
      <c r="C38" s="5" t="inlineStr">
        <is>
          <t>Use of AI systems</t>
        </is>
      </c>
      <c r="D38" s="5" t="inlineStr">
        <is>
          <t>Yes</t>
        </is>
      </c>
      <c r="E38" s="5" t="inlineStr">
        <is>
          <t>B</t>
        </is>
      </c>
      <c r="F38" s="5" t="inlineStr">
        <is>
          <t>AI-SYS-004, AI-SYS-005</t>
        </is>
      </c>
      <c r="G38" s="5" t="inlineStr">
        <is>
          <t>RSK-IS-003</t>
        </is>
      </c>
      <c r="H38" s="5" t="inlineStr">
        <is>
          <t>Implemented</t>
        </is>
      </c>
      <c r="I38" s="5" t="inlineStr">
        <is>
          <t>Use objectives: no confidential data in unapproved tools; human review of AI-assisted code and support replies.</t>
        </is>
      </c>
      <c r="J38" s="5" t="inlineStr">
        <is>
          <t>CISO</t>
        </is>
      </c>
      <c r="K38" s="5" t="inlineStr">
        <is>
          <t>—</t>
        </is>
      </c>
    </row>
    <row r="39">
      <c r="A39" s="5" t="inlineStr">
        <is>
          <t>A.9.4</t>
        </is>
      </c>
      <c r="B39" s="5" t="inlineStr">
        <is>
          <t>Intended use of the AI system</t>
        </is>
      </c>
      <c r="C39" s="5" t="inlineStr">
        <is>
          <t>Use of AI systems</t>
        </is>
      </c>
      <c r="D39" s="5" t="inlineStr">
        <is>
          <t>Yes</t>
        </is>
      </c>
      <c r="E39" s="5" t="inlineStr">
        <is>
          <t>R</t>
        </is>
      </c>
      <c r="F39" s="5" t="inlineStr">
        <is>
          <t>All</t>
        </is>
      </c>
      <c r="G39" s="5" t="inlineStr">
        <is>
          <t>RSK-AI-004</t>
        </is>
      </c>
      <c r="H39" s="5" t="inlineStr">
        <is>
          <t>Implemented</t>
        </is>
      </c>
      <c r="I39" s="5" t="inlineStr">
        <is>
          <t>Intended and prohibited uses stated per system in IMS-REG-005 and in customer terms.</t>
        </is>
      </c>
      <c r="J39" s="5" t="inlineStr">
        <is>
          <t>CAIO</t>
        </is>
      </c>
      <c r="K39" s="5" t="inlineStr">
        <is>
          <t>—</t>
        </is>
      </c>
    </row>
    <row r="40">
      <c r="A40" s="5" t="inlineStr">
        <is>
          <t>A.10.2</t>
        </is>
      </c>
      <c r="B40" s="5" t="inlineStr">
        <is>
          <t>Allocating responsibilities</t>
        </is>
      </c>
      <c r="C40" s="5" t="inlineStr">
        <is>
          <t>Third-party and customer relationships</t>
        </is>
      </c>
      <c r="D40" s="5" t="inlineStr">
        <is>
          <t>Yes</t>
        </is>
      </c>
      <c r="E40" s="5" t="inlineStr">
        <is>
          <t>C</t>
        </is>
      </c>
      <c r="F40" s="5" t="inlineStr">
        <is>
          <t>All</t>
        </is>
      </c>
      <c r="G40" s="5" t="inlineStr">
        <is>
          <t>RSK-AI-005</t>
        </is>
      </c>
      <c r="H40" s="5" t="inlineStr">
        <is>
          <t>Implemented</t>
        </is>
      </c>
      <c r="I40" s="5" t="inlineStr">
        <is>
          <t>Responsibility split with model providers, SafeFrame vendor and customers set out in contracts.</t>
        </is>
      </c>
      <c r="J40" s="5" t="inlineStr">
        <is>
          <t>DPO</t>
        </is>
      </c>
      <c r="K40" s="5" t="inlineStr">
        <is>
          <t>5.19, 5.20</t>
        </is>
      </c>
    </row>
    <row r="41">
      <c r="A41" s="5" t="inlineStr">
        <is>
          <t>A.10.3</t>
        </is>
      </c>
      <c r="B41" s="5" t="inlineStr">
        <is>
          <t>Suppliers</t>
        </is>
      </c>
      <c r="C41" s="5" t="inlineStr">
        <is>
          <t>Third-party and customer relationships</t>
        </is>
      </c>
      <c r="D41" s="5" t="inlineStr">
        <is>
          <t>Yes</t>
        </is>
      </c>
      <c r="E41" s="5" t="inlineStr">
        <is>
          <t>R,C</t>
        </is>
      </c>
      <c r="F41" s="5" t="inlineStr">
        <is>
          <t>AI-SYS-001, AI-SYS-002, AI-SYS-004, AI-SYS-005</t>
        </is>
      </c>
      <c r="G41" s="5" t="inlineStr">
        <is>
          <t>RSK-AI-005</t>
        </is>
      </c>
      <c r="H41" s="5" t="inlineStr">
        <is>
          <t>Partially implemented</t>
        </is>
      </c>
      <c r="I41" s="5" t="inlineStr">
        <is>
          <t>AI supplier due diligence in IMS-POL-006; model-change notice and version pinning being added (CA-2026-004).</t>
        </is>
      </c>
      <c r="J41" s="5" t="inlineStr">
        <is>
          <t>DPO</t>
        </is>
      </c>
      <c r="K41" s="5" t="inlineStr">
        <is>
          <t>5.19–5.22</t>
        </is>
      </c>
    </row>
    <row r="42">
      <c r="A42" s="5" t="inlineStr">
        <is>
          <t>A.10.4</t>
        </is>
      </c>
      <c r="B42" s="5" t="inlineStr">
        <is>
          <t>Customers</t>
        </is>
      </c>
      <c r="C42" s="5" t="inlineStr">
        <is>
          <t>Third-party and customer relationships</t>
        </is>
      </c>
      <c r="D42" s="5" t="inlineStr">
        <is>
          <t>Yes</t>
        </is>
      </c>
      <c r="E42" s="5" t="inlineStr">
        <is>
          <t>C,L</t>
        </is>
      </c>
      <c r="F42" s="5" t="inlineStr">
        <is>
          <t>AI-SYS-001, AI-SYS-002, AI-SYS-003</t>
        </is>
      </c>
      <c r="G42" s="5" t="inlineStr">
        <is>
          <t>RSK-AI-002</t>
        </is>
      </c>
      <c r="H42" s="5" t="inlineStr">
        <is>
          <t>Implemented</t>
        </is>
      </c>
      <c r="I42" s="5" t="inlineStr">
        <is>
          <t>Customer terms set acceptable use, labelling duties and how we use (and do not use) their data.</t>
        </is>
      </c>
      <c r="J42" s="5" t="inlineStr">
        <is>
          <t>DPO</t>
        </is>
      </c>
      <c r="K42" s="5" t="inlineStr">
        <is>
          <t>5.20</t>
        </is>
      </c>
    </row>
  </sheetData>
  <autoFilter ref="A4:K42"/>
  <mergeCells count="1">
    <mergeCell ref="A2:K2"/>
  </mergeCells>
  <conditionalFormatting sqref="H5:H42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conditionalFormatting sqref="D5:D42">
    <cfRule type="cellIs" priority="19" operator="equal" dxfId="0">
      <formula>"Implemented"</formula>
    </cfRule>
    <cfRule type="cellIs" priority="20" operator="equal" dxfId="0">
      <formula>"Done"</formula>
    </cfRule>
    <cfRule type="cellIs" priority="21" operator="equal" dxfId="0">
      <formula>"Closed"</formula>
    </cfRule>
    <cfRule type="cellIs" priority="22" operator="equal" dxfId="0">
      <formula>"Yes"</formula>
    </cfRule>
    <cfRule type="cellIs" priority="23" operator="equal" dxfId="0">
      <formula>"Met"</formula>
    </cfRule>
    <cfRule type="cellIs" priority="24" operator="equal" dxfId="1">
      <formula>"Partially implemented"</formula>
    </cfRule>
    <cfRule type="cellIs" priority="25" operator="equal" dxfId="1">
      <formula>"Partial"</formula>
    </cfRule>
    <cfRule type="cellIs" priority="26" operator="equal" dxfId="1">
      <formula>"Done late"</formula>
    </cfRule>
    <cfRule type="cellIs" priority="27" operator="equal" dxfId="1">
      <formula>"In progress"</formula>
    </cfRule>
    <cfRule type="cellIs" priority="28" operator="equal" dxfId="1">
      <formula>"Open"</formula>
    </cfRule>
    <cfRule type="cellIs" priority="29" operator="equal" dxfId="1">
      <formula>"On track"</formula>
    </cfRule>
    <cfRule type="cellIs" priority="30" operator="equal" dxfId="2">
      <formula>"Planned"</formula>
    </cfRule>
    <cfRule type="cellIs" priority="31" operator="equal" dxfId="3">
      <formula>"Not started"</formula>
    </cfRule>
    <cfRule type="cellIs" priority="32" operator="equal" dxfId="4">
      <formula>"Not implemented"</formula>
    </cfRule>
    <cfRule type="cellIs" priority="33" operator="equal" dxfId="4">
      <formula>"No"</formula>
    </cfRule>
    <cfRule type="cellIs" priority="34" operator="equal" dxfId="4">
      <formula>"Overdue"</formula>
    </cfRule>
    <cfRule type="cellIs" priority="35" operator="equal" dxfId="4">
      <formula>"Not met"</formula>
    </cfRule>
    <cfRule type="cellIs" priority="36" operator="equal" dxfId="5">
      <formula>"Excluded"</formula>
    </cfRule>
  </conditionalFormatting>
  <dataValidations count="2">
    <dataValidation sqref="D5:D42" showDropDown="0" showInputMessage="0" showErrorMessage="0" allowBlank="1" errorTitle="Invalid value" error="Pick a value from the list." type="list">
      <formula1>"Yes,No"</formula1>
    </dataValidation>
    <dataValidation sqref="H5:H42" showDropDown="0" showInputMessage="0" showErrorMessage="0" allowBlank="1" errorTitle="Invalid value" error="Pick a value from the list." type="list">
      <formula1>"Implemented,Partially implemented,Planned,Not implemented,Excluded"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70" customWidth="1" min="3" max="3"/>
    <col width="15" customWidth="1" min="4" max="4"/>
  </cols>
  <sheetData>
    <row r="1">
      <c r="A1" s="8" t="inlineStr">
        <is>
          <t>Organisational objectives for AI considered (ISO/IEC 42001 Annex C)</t>
        </is>
      </c>
    </row>
    <row r="2" ht="30" customHeight="1">
      <c r="A2" s="3" t="inlineStr">
        <is>
          <t>Annex C lists objectives an organisation may pursue for AI. Record which ones you adopt and how — they feed IMS-REG-003.</t>
        </is>
      </c>
    </row>
    <row r="4" ht="32" customHeight="1">
      <c r="A4" s="9" t="inlineStr">
        <is>
          <t>Objective</t>
        </is>
      </c>
      <c r="B4" s="9" t="inlineStr">
        <is>
          <t>Relevant?</t>
        </is>
      </c>
      <c r="C4" s="9" t="inlineStr">
        <is>
          <t>How we pursue it</t>
        </is>
      </c>
      <c r="D4" s="9" t="inlineStr">
        <is>
          <t>Linked objective</t>
        </is>
      </c>
    </row>
    <row r="5">
      <c r="A5" s="5" t="inlineStr">
        <is>
          <t>Accountability</t>
        </is>
      </c>
      <c r="B5" s="5" t="inlineStr">
        <is>
          <t>Yes</t>
        </is>
      </c>
      <c r="C5" s="5" t="inlineStr">
        <is>
          <t>Named owner per AI system; AI Release Review records</t>
        </is>
      </c>
      <c r="D5" s="5" t="inlineStr">
        <is>
          <t>OBJ-02</t>
        </is>
      </c>
    </row>
    <row r="6">
      <c r="A6" s="5" t="inlineStr">
        <is>
          <t>AI expertise</t>
        </is>
      </c>
      <c r="B6" s="5" t="inlineStr">
        <is>
          <t>Yes</t>
        </is>
      </c>
      <c r="C6" s="5" t="inlineStr">
        <is>
          <t>AI competence matrix and hiring plan</t>
        </is>
      </c>
      <c r="D6" s="5" t="inlineStr">
        <is>
          <t>OBJ-05</t>
        </is>
      </c>
    </row>
    <row r="7">
      <c r="A7" s="5" t="inlineStr">
        <is>
          <t>Availability and quality of training data</t>
        </is>
      </c>
      <c r="B7" s="5" t="inlineStr">
        <is>
          <t>Yes</t>
        </is>
      </c>
      <c r="C7" s="5" t="inlineStr">
        <is>
          <t>Dataset register, quality checks, licensed sources only</t>
        </is>
      </c>
      <c r="D7" s="5" t="inlineStr">
        <is>
          <t>OBJ-03</t>
        </is>
      </c>
    </row>
    <row r="8">
      <c r="A8" s="5" t="inlineStr">
        <is>
          <t>Environmental impact</t>
        </is>
      </c>
      <c r="B8" s="5" t="inlineStr">
        <is>
          <t>Yes</t>
        </is>
      </c>
      <c r="C8" s="5" t="inlineStr">
        <is>
          <t>Training runs sized and logged; prefer fine-tuning over training from scratch</t>
        </is>
      </c>
      <c r="D8" s="5" t="inlineStr">
        <is>
          <t>—</t>
        </is>
      </c>
    </row>
    <row r="9">
      <c r="A9" s="5" t="inlineStr">
        <is>
          <t>Fairness</t>
        </is>
      </c>
      <c r="B9" s="5" t="inlineStr">
        <is>
          <t>Yes</t>
        </is>
      </c>
      <c r="C9" s="5" t="inlineStr">
        <is>
          <t>ArtistMatch exposure-ratio monitoring; depiction tests for StoryFrame</t>
        </is>
      </c>
      <c r="D9" s="5" t="inlineStr">
        <is>
          <t>OBJ-06</t>
        </is>
      </c>
    </row>
    <row r="10">
      <c r="A10" s="5" t="inlineStr">
        <is>
          <t>Maintainability</t>
        </is>
      </c>
      <c r="B10" s="5" t="inlineStr">
        <is>
          <t>Yes</t>
        </is>
      </c>
      <c r="C10" s="5" t="inlineStr">
        <is>
          <t>Versioned models and pipelines; documented retraining</t>
        </is>
      </c>
      <c r="D10" s="5" t="inlineStr">
        <is>
          <t>—</t>
        </is>
      </c>
    </row>
    <row r="11">
      <c r="A11" s="5" t="inlineStr">
        <is>
          <t>Privacy</t>
        </is>
      </c>
      <c r="B11" s="5" t="inlineStr">
        <is>
          <t>Yes</t>
        </is>
      </c>
      <c r="C11" s="5" t="inlineStr">
        <is>
          <t>No training on customer data without opt-in; masking</t>
        </is>
      </c>
      <c r="D11" s="5" t="inlineStr">
        <is>
          <t>—</t>
        </is>
      </c>
    </row>
    <row r="12">
      <c r="A12" s="5" t="inlineStr">
        <is>
          <t>Robustness</t>
        </is>
      </c>
      <c r="B12" s="5" t="inlineStr">
        <is>
          <t>Yes</t>
        </is>
      </c>
      <c r="C12" s="5" t="inlineStr">
        <is>
          <t>Red-teaming, prompt-injection tests, canary sets</t>
        </is>
      </c>
      <c r="D12" s="5" t="inlineStr">
        <is>
          <t>OBJ-02</t>
        </is>
      </c>
    </row>
    <row r="13">
      <c r="A13" s="5" t="inlineStr">
        <is>
          <t>Safety</t>
        </is>
      </c>
      <c r="B13" s="5" t="inlineStr">
        <is>
          <t>Yes</t>
        </is>
      </c>
      <c r="C13" s="5" t="inlineStr">
        <is>
          <t>SafeFrame plus own likeness check; prohibited-content rules</t>
        </is>
      </c>
      <c r="D13" s="5" t="inlineStr">
        <is>
          <t>—</t>
        </is>
      </c>
    </row>
    <row r="14">
      <c r="A14" s="5" t="inlineStr">
        <is>
          <t>Security</t>
        </is>
      </c>
      <c r="B14" s="5" t="inlineStr">
        <is>
          <t>Yes</t>
        </is>
      </c>
      <c r="C14" s="5" t="inlineStr">
        <is>
          <t>Integrated with the ISMS (IMS-SOA-001)</t>
        </is>
      </c>
      <c r="D14" s="5" t="inlineStr">
        <is>
          <t>OBJ-04</t>
        </is>
      </c>
    </row>
    <row r="15">
      <c r="A15" s="5" t="inlineStr">
        <is>
          <t>Transparency and explainability</t>
        </is>
      </c>
      <c r="B15" s="5" t="inlineStr">
        <is>
          <t>Yes</t>
        </is>
      </c>
      <c r="C15" s="5" t="inlineStr">
        <is>
          <t>Labels, C2PA credentials, public ArtistMatch explanation</t>
        </is>
      </c>
      <c r="D15" s="5" t="inlineStr">
        <is>
          <t>—</t>
        </is>
      </c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</sheetData>
  <autoFilter ref="A4:D20"/>
  <mergeCells count="1">
    <mergeCell ref="A2:D2"/>
  </mergeCells>
  <conditionalFormatting sqref="B5:B20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2">
      <formula>"Planned"</formula>
    </cfRule>
    <cfRule type="cellIs" priority="13" operator="equal" dxfId="3">
      <formula>"Not started"</formula>
    </cfRule>
    <cfRule type="cellIs" priority="14" operator="equal" dxfId="4">
      <formula>"Not implemented"</formula>
    </cfRule>
    <cfRule type="cellIs" priority="15" operator="equal" dxfId="4">
      <formula>"No"</formula>
    </cfRule>
    <cfRule type="cellIs" priority="16" operator="equal" dxfId="4">
      <formula>"Overdue"</formula>
    </cfRule>
    <cfRule type="cellIs" priority="17" operator="equal" dxfId="4">
      <formula>"Not met"</formula>
    </cfRule>
    <cfRule type="cellIs" priority="18" operator="equal" dxfId="5">
      <formula>"Excluded"</formula>
    </cfRule>
  </conditionalFormatting>
  <dataValidations count="1">
    <dataValidation sqref="B5:B20" showDropDown="0" showInputMessage="0" showErrorMessage="0" allowBlank="1" errorTitle="Invalid value" error="Pick a value from the list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80" customWidth="1" min="3" max="3"/>
  </cols>
  <sheetData>
    <row r="1">
      <c r="A1" s="8" t="inlineStr">
        <is>
          <t>AI risk sources considered (ISO/IEC 42001 Annex C)</t>
        </is>
      </c>
    </row>
    <row r="2" ht="30" customHeight="1">
      <c r="A2" s="3" t="inlineStr">
        <is>
          <t>Annex C lists typical sources of AI risk. Rate how much each applies to you; high ones must appear in IMS-REG-002.</t>
        </is>
      </c>
    </row>
    <row r="4" ht="32" customHeight="1">
      <c r="A4" s="9" t="inlineStr">
        <is>
          <t>Risk source</t>
        </is>
      </c>
      <c r="B4" s="9" t="inlineStr">
        <is>
          <t>Relevance</t>
        </is>
      </c>
      <c r="C4" s="9" t="inlineStr">
        <is>
          <t>Why / where it shows up</t>
        </is>
      </c>
    </row>
    <row r="5">
      <c r="A5" s="5" t="inlineStr">
        <is>
          <t>Complexity of the environment</t>
        </is>
      </c>
      <c r="B5" s="5" t="inlineStr">
        <is>
          <t>Medium</t>
        </is>
      </c>
      <c r="C5" s="5" t="inlineStr">
        <is>
          <t>Open-ended creative prompts from many cultures and languages</t>
        </is>
      </c>
    </row>
    <row r="6">
      <c r="A6" s="5" t="inlineStr">
        <is>
          <t>Lack of transparency and explainability</t>
        </is>
      </c>
      <c r="B6" s="5" t="inlineStr">
        <is>
          <t>High</t>
        </is>
      </c>
      <c r="C6" s="5" t="inlineStr">
        <is>
          <t>Image model behaviour is hard to explain; mitigated by documentation and labels</t>
        </is>
      </c>
    </row>
    <row r="7">
      <c r="A7" s="5" t="inlineStr">
        <is>
          <t>Level of automation</t>
        </is>
      </c>
      <c r="B7" s="5" t="inlineStr">
        <is>
          <t>Medium</t>
        </is>
      </c>
      <c r="C7" s="5" t="inlineStr">
        <is>
          <t>Outputs are drafts refined by humans; ArtistMatch ranks automatically</t>
        </is>
      </c>
    </row>
    <row r="8">
      <c r="A8" s="5" t="inlineStr">
        <is>
          <t>Risks related to machine learning</t>
        </is>
      </c>
      <c r="B8" s="5" t="inlineStr">
        <is>
          <t>High</t>
        </is>
      </c>
      <c r="C8" s="5" t="inlineStr">
        <is>
          <t>Training-data rights, bias, drift after supplier updates</t>
        </is>
      </c>
    </row>
    <row r="9">
      <c r="A9" s="5" t="inlineStr">
        <is>
          <t>System hardware issues</t>
        </is>
      </c>
      <c r="B9" s="5" t="inlineStr">
        <is>
          <t>Low</t>
        </is>
      </c>
      <c r="C9" s="5" t="inlineStr">
        <is>
          <t>Cloud GPUs; capacity limits handled by quotas and fallbacks</t>
        </is>
      </c>
    </row>
    <row r="10">
      <c r="A10" s="5" t="inlineStr">
        <is>
          <t>System life cycle issues</t>
        </is>
      </c>
      <c r="B10" s="5" t="inlineStr">
        <is>
          <t>Medium</t>
        </is>
      </c>
      <c r="C10" s="5" t="inlineStr">
        <is>
          <t>Frequent model updates; covered by gates and change management</t>
        </is>
      </c>
    </row>
    <row r="11">
      <c r="A11" s="5" t="inlineStr">
        <is>
          <t>Technology readiness</t>
        </is>
      </c>
      <c r="B11" s="5" t="inlineStr">
        <is>
          <t>Medium</t>
        </is>
      </c>
      <c r="C11" s="5" t="inlineStr">
        <is>
          <t>Generative image models are new and fast-changing</t>
        </is>
      </c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</sheetData>
  <autoFilter ref="A4:C16"/>
  <mergeCells count="1">
    <mergeCell ref="A2:C2"/>
  </mergeCells>
  <conditionalFormatting sqref="B5:B16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4">
      <formula>"High"</formula>
    </cfRule>
    <cfRule type="cellIs" priority="4" operator="equal" dxfId="6">
      <formula>"Critical"</formula>
    </cfRule>
  </conditionalFormatting>
  <dataValidations count="1">
    <dataValidation sqref="B5:B16" showDropDown="0" showInputMessage="0" showErrorMessage="0" allowBlank="1" errorTitle="Invalid value" error="Pick a value from the list." type="list">
      <formula1>"Low,Medium,High"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3" customWidth="1" min="3" max="3"/>
    <col width="13" customWidth="1" min="4" max="4"/>
    <col width="10" customWidth="1" min="5" max="5"/>
    <col width="10" customWidth="1" min="6" max="6"/>
  </cols>
  <sheetData>
    <row r="1">
      <c r="A1" s="8" t="inlineStr">
        <is>
          <t>Implementation summary</t>
        </is>
      </c>
    </row>
    <row r="2" ht="30" customHeight="1">
      <c r="A2" s="3" t="inlineStr">
        <is>
          <t>Counts update automatically from the SoA sheet.</t>
        </is>
      </c>
    </row>
    <row r="4" ht="32" customHeight="1">
      <c r="A4" s="9" t="inlineStr">
        <is>
          <t>Control area</t>
        </is>
      </c>
      <c r="B4" s="9" t="inlineStr">
        <is>
          <t>Controls</t>
        </is>
      </c>
      <c r="C4" s="9" t="inlineStr">
        <is>
          <t>Implemented</t>
        </is>
      </c>
      <c r="D4" s="9" t="inlineStr">
        <is>
          <t>Partially implemented</t>
        </is>
      </c>
      <c r="E4" s="9" t="inlineStr">
        <is>
          <t>Planned</t>
        </is>
      </c>
      <c r="F4" s="9" t="inlineStr">
        <is>
          <t>Excluded</t>
        </is>
      </c>
    </row>
    <row r="5">
      <c r="A5" s="5" t="inlineStr">
        <is>
          <t>Policies related to AI</t>
        </is>
      </c>
      <c r="B5" s="5">
        <f>COUNTIF('SoA 42001'!C:C,A5)</f>
        <v/>
      </c>
      <c r="C5" s="5">
        <f>COUNTIFS('SoA 42001'!C:C,A5,'SoA 42001'!H:H,"Implemented")</f>
        <v/>
      </c>
      <c r="D5" s="5">
        <f>COUNTIFS('SoA 42001'!C:C,A5,'SoA 42001'!H:H,"Partially implemented")</f>
        <v/>
      </c>
      <c r="E5" s="5">
        <f>COUNTIFS('SoA 42001'!C:C,A5,'SoA 42001'!H:H,"Planned")</f>
        <v/>
      </c>
      <c r="F5" s="5">
        <f>COUNTIFS('SoA 42001'!C:C,A5,'SoA 42001'!H:H,"Excluded")</f>
        <v/>
      </c>
    </row>
    <row r="6">
      <c r="A6" s="5" t="inlineStr">
        <is>
          <t>Internal organisation</t>
        </is>
      </c>
      <c r="B6" s="5">
        <f>COUNTIF('SoA 42001'!C:C,A6)</f>
        <v/>
      </c>
      <c r="C6" s="5">
        <f>COUNTIFS('SoA 42001'!C:C,A6,'SoA 42001'!H:H,"Implemented")</f>
        <v/>
      </c>
      <c r="D6" s="5">
        <f>COUNTIFS('SoA 42001'!C:C,A6,'SoA 42001'!H:H,"Partially implemented")</f>
        <v/>
      </c>
      <c r="E6" s="5">
        <f>COUNTIFS('SoA 42001'!C:C,A6,'SoA 42001'!H:H,"Planned")</f>
        <v/>
      </c>
      <c r="F6" s="5">
        <f>COUNTIFS('SoA 42001'!C:C,A6,'SoA 42001'!H:H,"Excluded")</f>
        <v/>
      </c>
    </row>
    <row r="7">
      <c r="A7" s="5" t="inlineStr">
        <is>
          <t>Resources for AI systems</t>
        </is>
      </c>
      <c r="B7" s="5">
        <f>COUNTIF('SoA 42001'!C:C,A7)</f>
        <v/>
      </c>
      <c r="C7" s="5">
        <f>COUNTIFS('SoA 42001'!C:C,A7,'SoA 42001'!H:H,"Implemented")</f>
        <v/>
      </c>
      <c r="D7" s="5">
        <f>COUNTIFS('SoA 42001'!C:C,A7,'SoA 42001'!H:H,"Partially implemented")</f>
        <v/>
      </c>
      <c r="E7" s="5">
        <f>COUNTIFS('SoA 42001'!C:C,A7,'SoA 42001'!H:H,"Planned")</f>
        <v/>
      </c>
      <c r="F7" s="5">
        <f>COUNTIFS('SoA 42001'!C:C,A7,'SoA 42001'!H:H,"Excluded")</f>
        <v/>
      </c>
    </row>
    <row r="8">
      <c r="A8" s="5" t="inlineStr">
        <is>
          <t>Assessing impacts</t>
        </is>
      </c>
      <c r="B8" s="5">
        <f>COUNTIF('SoA 42001'!C:C,A8)</f>
        <v/>
      </c>
      <c r="C8" s="5">
        <f>COUNTIFS('SoA 42001'!C:C,A8,'SoA 42001'!H:H,"Implemented")</f>
        <v/>
      </c>
      <c r="D8" s="5">
        <f>COUNTIFS('SoA 42001'!C:C,A8,'SoA 42001'!H:H,"Partially implemented")</f>
        <v/>
      </c>
      <c r="E8" s="5">
        <f>COUNTIFS('SoA 42001'!C:C,A8,'SoA 42001'!H:H,"Planned")</f>
        <v/>
      </c>
      <c r="F8" s="5">
        <f>COUNTIFS('SoA 42001'!C:C,A8,'SoA 42001'!H:H,"Excluded")</f>
        <v/>
      </c>
    </row>
    <row r="9">
      <c r="A9" s="5" t="inlineStr">
        <is>
          <t>AI system life cycle</t>
        </is>
      </c>
      <c r="B9" s="5">
        <f>COUNTIF('SoA 42001'!C:C,A9)</f>
        <v/>
      </c>
      <c r="C9" s="5">
        <f>COUNTIFS('SoA 42001'!C:C,A9,'SoA 42001'!H:H,"Implemented")</f>
        <v/>
      </c>
      <c r="D9" s="5">
        <f>COUNTIFS('SoA 42001'!C:C,A9,'SoA 42001'!H:H,"Partially implemented")</f>
        <v/>
      </c>
      <c r="E9" s="5">
        <f>COUNTIFS('SoA 42001'!C:C,A9,'SoA 42001'!H:H,"Planned")</f>
        <v/>
      </c>
      <c r="F9" s="5">
        <f>COUNTIFS('SoA 42001'!C:C,A9,'SoA 42001'!H:H,"Excluded")</f>
        <v/>
      </c>
    </row>
    <row r="10">
      <c r="A10" s="5" t="inlineStr">
        <is>
          <t>Data for AI systems</t>
        </is>
      </c>
      <c r="B10" s="5">
        <f>COUNTIF('SoA 42001'!C:C,A10)</f>
        <v/>
      </c>
      <c r="C10" s="5">
        <f>COUNTIFS('SoA 42001'!C:C,A10,'SoA 42001'!H:H,"Implemented")</f>
        <v/>
      </c>
      <c r="D10" s="5">
        <f>COUNTIFS('SoA 42001'!C:C,A10,'SoA 42001'!H:H,"Partially implemented")</f>
        <v/>
      </c>
      <c r="E10" s="5">
        <f>COUNTIFS('SoA 42001'!C:C,A10,'SoA 42001'!H:H,"Planned")</f>
        <v/>
      </c>
      <c r="F10" s="5">
        <f>COUNTIFS('SoA 42001'!C:C,A10,'SoA 42001'!H:H,"Excluded")</f>
        <v/>
      </c>
    </row>
    <row r="11">
      <c r="A11" s="5" t="inlineStr">
        <is>
          <t>Information for interested parties</t>
        </is>
      </c>
      <c r="B11" s="5">
        <f>COUNTIF('SoA 42001'!C:C,A11)</f>
        <v/>
      </c>
      <c r="C11" s="5">
        <f>COUNTIFS('SoA 42001'!C:C,A11,'SoA 42001'!H:H,"Implemented")</f>
        <v/>
      </c>
      <c r="D11" s="5">
        <f>COUNTIFS('SoA 42001'!C:C,A11,'SoA 42001'!H:H,"Partially implemented")</f>
        <v/>
      </c>
      <c r="E11" s="5">
        <f>COUNTIFS('SoA 42001'!C:C,A11,'SoA 42001'!H:H,"Planned")</f>
        <v/>
      </c>
      <c r="F11" s="5">
        <f>COUNTIFS('SoA 42001'!C:C,A11,'SoA 42001'!H:H,"Excluded")</f>
        <v/>
      </c>
    </row>
    <row r="12">
      <c r="A12" s="5" t="inlineStr">
        <is>
          <t>Use of AI systems</t>
        </is>
      </c>
      <c r="B12" s="5">
        <f>COUNTIF('SoA 42001'!C:C,A12)</f>
        <v/>
      </c>
      <c r="C12" s="5">
        <f>COUNTIFS('SoA 42001'!C:C,A12,'SoA 42001'!H:H,"Implemented")</f>
        <v/>
      </c>
      <c r="D12" s="5">
        <f>COUNTIFS('SoA 42001'!C:C,A12,'SoA 42001'!H:H,"Partially implemented")</f>
        <v/>
      </c>
      <c r="E12" s="5">
        <f>COUNTIFS('SoA 42001'!C:C,A12,'SoA 42001'!H:H,"Planned")</f>
        <v/>
      </c>
      <c r="F12" s="5">
        <f>COUNTIFS('SoA 42001'!C:C,A12,'SoA 42001'!H:H,"Excluded")</f>
        <v/>
      </c>
    </row>
    <row r="13">
      <c r="A13" s="5" t="inlineStr">
        <is>
          <t>Third-party and customer relationships</t>
        </is>
      </c>
      <c r="B13" s="5">
        <f>COUNTIF('SoA 42001'!C:C,A13)</f>
        <v/>
      </c>
      <c r="C13" s="5">
        <f>COUNTIFS('SoA 42001'!C:C,A13,'SoA 42001'!H:H,"Implemented")</f>
        <v/>
      </c>
      <c r="D13" s="5">
        <f>COUNTIFS('SoA 42001'!C:C,A13,'SoA 42001'!H:H,"Partially implemented")</f>
        <v/>
      </c>
      <c r="E13" s="5">
        <f>COUNTIFS('SoA 42001'!C:C,A13,'SoA 42001'!H:H,"Planned")</f>
        <v/>
      </c>
      <c r="F13" s="5">
        <f>COUNTIFS('SoA 42001'!C:C,A13,'SoA 42001'!H:H,"Excluded")</f>
        <v/>
      </c>
    </row>
    <row r="14">
      <c r="A14" s="5" t="inlineStr">
        <is>
          <t>Total</t>
        </is>
      </c>
      <c r="B14" s="5">
        <f>SUM(B5:B13)</f>
        <v/>
      </c>
      <c r="C14" s="5">
        <f>SUM(C5:C13)</f>
        <v/>
      </c>
      <c r="D14" s="5">
        <f>SUM(D5:D13)</f>
        <v/>
      </c>
      <c r="E14" s="5">
        <f>SUM(E5:E13)</f>
        <v/>
      </c>
      <c r="F14" s="5">
        <f>SUM(F5:F13)</f>
        <v/>
      </c>
    </row>
  </sheetData>
  <autoFilter ref="A4:F14"/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60" customWidth="1" min="4" max="4"/>
    <col width="20" customWidth="1" min="5" max="5"/>
  </cols>
  <sheetData>
    <row r="1">
      <c r="A1" s="8" t="inlineStr">
        <is>
          <t>SoA approval</t>
        </is>
      </c>
    </row>
    <row r="2" ht="30" customHeight="1">
      <c r="A2" s="3" t="inlineStr">
        <is>
          <t>Approved by top management with the AI risk treatment plan and residual risks.</t>
        </is>
      </c>
    </row>
    <row r="4" ht="32" customHeight="1">
      <c r="A4" s="9" t="inlineStr">
        <is>
          <t>Version</t>
        </is>
      </c>
      <c r="B4" s="9" t="inlineStr">
        <is>
          <t>Date</t>
        </is>
      </c>
      <c r="C4" s="9" t="inlineStr">
        <is>
          <t>Approved by</t>
        </is>
      </c>
      <c r="D4" s="9" t="inlineStr">
        <is>
          <t>Decision</t>
        </is>
      </c>
      <c r="E4" s="9" t="inlineStr">
        <is>
          <t>Signature</t>
        </is>
      </c>
    </row>
    <row r="5">
      <c r="A5" s="5" t="inlineStr">
        <is>
          <t>2.0</t>
        </is>
      </c>
      <c r="B5" s="5" t="inlineStr">
        <is>
          <t>2026-10-21</t>
        </is>
      </c>
      <c r="C5" s="5" t="inlineStr">
        <is>
          <t>[CEO] for the Trust Council</t>
        </is>
      </c>
      <c r="D5" s="5" t="inlineStr">
        <is>
          <t>Approved together with residual AI risks in IMS-REG-002 (RSK-AI-005 residual High accepted until 2027-01-31)</t>
        </is>
      </c>
      <c r="E5" s="10" t="inlineStr">
        <is>
          <t>[signature]</t>
        </is>
      </c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</sheetData>
  <autoFilter ref="A4:E10"/>
  <mergeCells count="1">
    <mergeCell ref="A2:E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Statement of Applicability — ISO/IEC 42001:2023 Annex A</dc:title>
  <dcterms:created xmlns:dcterms="http://purl.org/dc/terms/" xmlns:xsi="http://www.w3.org/2001/XMLSchema-instance" xsi:type="dcterms:W3CDTF">2026-10-04T18:41:14Z</dcterms:created>
  <dcterms:modified xmlns:dcterms="http://purl.org/dc/terms/" xmlns:xsi="http://www.w3.org/2001/XMLSchema-instance" xsi:type="dcterms:W3CDTF">2026-10-04T18:41:14Z</dcterms:modified>
  <cp:lastModifiedBy>Prof. Dr. Mohamed Fawzi Elgendi (Fawzooz)</cp:lastModifiedBy>
</cp:coreProperties>
</file>