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oA 27001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pproval" sheetId="4" state="visible" r:id="rId4"/>
  </sheets>
  <definedNames>
    <definedName name="_xlnm._FilterDatabase" localSheetId="1" hidden="1">'SoA 27001'!$A$4:$I$97</definedName>
    <definedName name="_xlnm.Print_Titles" localSheetId="1">'SoA 27001'!$4:$4</definedName>
    <definedName name="_xlnm._FilterDatabase" localSheetId="2" hidden="1">'Summary'!$A$4:$H$9</definedName>
    <definedName name="_xlnm.Print_Titles" localSheetId="2">'Summary'!$4:$4</definedName>
    <definedName name="_xlnm._FilterDatabase" localSheetId="3" hidden="1">'Approval'!$A$4:$E$10</definedName>
    <definedName name="_xlnm.Print_Titles" localSheetId="3">'Approval'!$4:$4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Statement of Applicability — ISO/IEC 27001:2022 Annex A</t>
        </is>
      </c>
    </row>
    <row r="3" ht="48" customHeight="1">
      <c r="A3" s="3" t="inlineStr">
        <is>
          <t>Which of the 93 ISO/IEC 27001:2022 Annex A controls Quillfen Studio applies, why, how far each one is implemented, and where the evidence is. Required by ISO/IEC 27001 clause 6.1.3 d).</t>
        </is>
      </c>
    </row>
    <row r="5">
      <c r="A5" s="4" t="inlineStr">
        <is>
          <t>Document ID</t>
        </is>
      </c>
      <c r="B5" s="5" t="inlineStr">
        <is>
          <t>IMS-SOA-001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[Security Lead]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02 Gauge - Risk and Planning</t>
        </is>
      </c>
    </row>
    <row r="14">
      <c r="A14" s="4" t="inlineStr">
        <is>
          <t>ISO/IEC 27001:2022</t>
        </is>
      </c>
      <c r="B14" s="5" t="inlineStr">
        <is>
          <t>6.1.3 d) Statement of Applicability; Annex A</t>
        </is>
      </c>
    </row>
    <row r="15">
      <c r="A15" s="4" t="inlineStr">
        <is>
          <t>ISO/IEC 42001:2023</t>
        </is>
      </c>
      <c r="B15" s="5" t="inlineStr">
        <is>
          <t>— (see IMS-SOA-002)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30" customHeight="1">
      <c r="A21" t="inlineStr">
        <is>
          <t>•</t>
        </is>
      </c>
      <c r="B21" s="3" t="inlineStr">
        <is>
          <t>Every Annex A control must appear, including the ones you exclude — with a reason for each exclusion.</t>
        </is>
      </c>
    </row>
    <row r="22" ht="45" customHeight="1">
      <c r="A22" t="inlineStr">
        <is>
          <t>•</t>
        </is>
      </c>
      <c r="B22" s="3" t="inlineStr">
        <is>
          <t>Applicability comes from your risk treatment (IMS-REG-002), legal and contractual requirements, and business needs. Reason codes: R = treats a risk in IMS-REG-002 · L = legal/regulatory · C = contractual · B = business need / good practice.</t>
        </is>
      </c>
    </row>
    <row r="23" ht="30" customHeight="1">
      <c r="A23" t="inlineStr">
        <is>
          <t>•</t>
        </is>
      </c>
      <c r="B23" s="3" t="inlineStr">
        <is>
          <t>Control names here are short paraphrases. Keep your licensed copy of ISO/IEC 27001 and 27002 next to this sheet for the exact wording and guidance.</t>
        </is>
      </c>
    </row>
    <row r="24" ht="30" customHeight="1">
      <c r="A24" t="inlineStr">
        <is>
          <t>•</t>
        </is>
      </c>
      <c r="B24" s="3" t="inlineStr">
        <is>
          <t>Auditors sample controls from this sheet and ask for the evidence in the 'How we do it' column — keep it specific.</t>
        </is>
      </c>
    </row>
    <row r="26">
      <c r="A26" s="6" t="inlineStr">
        <is>
          <t>Sheets</t>
        </is>
      </c>
    </row>
    <row r="27" ht="45" customHeight="1">
      <c r="A27" s="7" t="inlineStr">
        <is>
          <t>SoA 27001</t>
        </is>
      </c>
      <c r="B27" s="3" t="inlineStr">
        <is>
          <t>Status values: Implemented · Partially implemented · Planned · Not implemented · Excluded. R = treats a risk in IMS-REG-002 · L = legal/regulatory · C = contractual · B = business need / good practice</t>
        </is>
      </c>
    </row>
    <row r="28" ht="15" customHeight="1">
      <c r="A28" s="7" t="inlineStr">
        <is>
          <t>Summary</t>
        </is>
      </c>
      <c r="B28" s="3" t="inlineStr">
        <is>
          <t>Counts update automatically from the SoA sheet.</t>
        </is>
      </c>
    </row>
    <row r="29" ht="30" customHeight="1">
      <c r="A29" s="7" t="inlineStr">
        <is>
          <t>Approval</t>
        </is>
      </c>
      <c r="B29" s="3" t="inlineStr">
        <is>
          <t>The SoA is approved by top management together with the risk treatment plan and residual risks (clause 6.1.3 f).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5" customWidth="1" min="3" max="3"/>
    <col width="12" customWidth="1" min="4" max="4"/>
    <col width="9" customWidth="1" min="5" max="5"/>
    <col width="22" customWidth="1" min="6" max="6"/>
    <col width="20" customWidth="1" min="7" max="7"/>
    <col width="70" customWidth="1" min="8" max="8"/>
    <col width="13" customWidth="1" min="9" max="9"/>
  </cols>
  <sheetData>
    <row r="1">
      <c r="A1" s="8" t="inlineStr">
        <is>
          <t>Statement of Applicability — ISO/IEC 27001:2022 Annex A</t>
        </is>
      </c>
    </row>
    <row r="2" ht="30" customHeight="1">
      <c r="A2" s="3" t="inlineStr">
        <is>
          <t>Status values: Implemented · Partially implemented · Planned · Not implemented · Excluded. R = treats a risk in IMS-REG-002 · L = legal/regulatory · C = contractual · B = business need / good practice</t>
        </is>
      </c>
    </row>
    <row r="4" ht="32" customHeight="1">
      <c r="A4" s="9" t="inlineStr">
        <is>
          <t>Control</t>
        </is>
      </c>
      <c r="B4" s="9" t="inlineStr">
        <is>
          <t>Control (short name)</t>
        </is>
      </c>
      <c r="C4" s="9" t="inlineStr">
        <is>
          <t>Theme</t>
        </is>
      </c>
      <c r="D4" s="9" t="inlineStr">
        <is>
          <t>Applicable?</t>
        </is>
      </c>
      <c r="E4" s="9" t="inlineStr">
        <is>
          <t>Reason</t>
        </is>
      </c>
      <c r="F4" s="9" t="inlineStr">
        <is>
          <t>Linked risks</t>
        </is>
      </c>
      <c r="G4" s="9" t="inlineStr">
        <is>
          <t>Status</t>
        </is>
      </c>
      <c r="H4" s="9" t="inlineStr">
        <is>
          <t>How we do it / evidence</t>
        </is>
      </c>
      <c r="I4" s="9" t="inlineStr">
        <is>
          <t>Control owner</t>
        </is>
      </c>
    </row>
    <row r="5">
      <c r="A5" s="5" t="inlineStr">
        <is>
          <t>5.1</t>
        </is>
      </c>
      <c r="B5" s="5" t="inlineStr">
        <is>
          <t>Policies for information security</t>
        </is>
      </c>
      <c r="C5" s="5" t="inlineStr">
        <is>
          <t>Organisational</t>
        </is>
      </c>
      <c r="D5" s="5" t="inlineStr">
        <is>
          <t>Yes</t>
        </is>
      </c>
      <c r="E5" s="5" t="inlineStr">
        <is>
          <t>R,C,B</t>
        </is>
      </c>
      <c r="F5" s="5" t="inlineStr">
        <is>
          <t>All</t>
        </is>
      </c>
      <c r="G5" s="5" t="inlineStr">
        <is>
          <t>Implemented</t>
        </is>
      </c>
      <c r="H5" s="5" t="inlineStr">
        <is>
          <t>IMS-POL-001 top-level policy plus topic policies POL-002 to POL-006; annual review by the Trust Council.</t>
        </is>
      </c>
      <c r="I5" s="5" t="inlineStr">
        <is>
          <t>CISO</t>
        </is>
      </c>
    </row>
    <row r="6">
      <c r="A6" s="5" t="inlineStr">
        <is>
          <t>5.2</t>
        </is>
      </c>
      <c r="B6" s="5" t="inlineStr">
        <is>
          <t>Information security roles and responsibilities</t>
        </is>
      </c>
      <c r="C6" s="5" t="inlineStr">
        <is>
          <t>Organisational</t>
        </is>
      </c>
      <c r="D6" s="5" t="inlineStr">
        <is>
          <t>Yes</t>
        </is>
      </c>
      <c r="E6" s="5" t="inlineStr">
        <is>
          <t>B</t>
        </is>
      </c>
      <c r="F6" s="5" t="inlineStr">
        <is>
          <t>All</t>
        </is>
      </c>
      <c r="G6" s="5" t="inlineStr">
        <is>
          <t>Implemented</t>
        </is>
      </c>
      <c r="H6" s="5" t="inlineStr">
        <is>
          <t>Roles, committees and RACI in IMS-GOV-001; security duties in job descriptions.</t>
        </is>
      </c>
      <c r="I6" s="5" t="inlineStr">
        <is>
          <t>CEO</t>
        </is>
      </c>
    </row>
    <row r="7">
      <c r="A7" s="5" t="inlineStr">
        <is>
          <t>5.3</t>
        </is>
      </c>
      <c r="B7" s="5" t="inlineStr">
        <is>
          <t>Segregation of duties</t>
        </is>
      </c>
      <c r="C7" s="5" t="inlineStr">
        <is>
          <t>Organisational</t>
        </is>
      </c>
      <c r="D7" s="5" t="inlineStr">
        <is>
          <t>Yes</t>
        </is>
      </c>
      <c r="E7" s="5" t="inlineStr">
        <is>
          <t>R</t>
        </is>
      </c>
      <c r="F7" s="5" t="inlineStr">
        <is>
          <t>RSK-IS-002</t>
        </is>
      </c>
      <c r="G7" s="5" t="inlineStr">
        <is>
          <t>Implemented</t>
        </is>
      </c>
      <c r="H7" s="5" t="inlineStr">
        <is>
          <t>Code review by a second engineer; production deploy only via pipeline; combined startup roles listed with compensating checks in IMS-GOV-001.</t>
        </is>
      </c>
      <c r="I7" s="5" t="inlineStr">
        <is>
          <t>CTO</t>
        </is>
      </c>
    </row>
    <row r="8">
      <c r="A8" s="5" t="inlineStr">
        <is>
          <t>5.4</t>
        </is>
      </c>
      <c r="B8" s="5" t="inlineStr">
        <is>
          <t>Management responsibilities</t>
        </is>
      </c>
      <c r="C8" s="5" t="inlineStr">
        <is>
          <t>Organisational</t>
        </is>
      </c>
      <c r="D8" s="5" t="inlineStr">
        <is>
          <t>Yes</t>
        </is>
      </c>
      <c r="E8" s="5" t="inlineStr">
        <is>
          <t>B</t>
        </is>
      </c>
      <c r="F8" s="5" t="inlineStr">
        <is>
          <t>All</t>
        </is>
      </c>
      <c r="G8" s="5" t="inlineStr">
        <is>
          <t>Implemented</t>
        </is>
      </c>
      <c r="H8" s="5" t="inlineStr">
        <is>
          <t>Managers confirm team training and policy acknowledgement each quarter.</t>
        </is>
      </c>
      <c r="I8" s="5" t="inlineStr">
        <is>
          <t>CEO</t>
        </is>
      </c>
    </row>
    <row r="9">
      <c r="A9" s="5" t="inlineStr">
        <is>
          <t>5.5</t>
        </is>
      </c>
      <c r="B9" s="5" t="inlineStr">
        <is>
          <t>Contact with authorities</t>
        </is>
      </c>
      <c r="C9" s="5" t="inlineStr">
        <is>
          <t>Organisational</t>
        </is>
      </c>
      <c r="D9" s="5" t="inlineStr">
        <is>
          <t>Yes</t>
        </is>
      </c>
      <c r="E9" s="5" t="inlineStr">
        <is>
          <t>L</t>
        </is>
      </c>
      <c r="F9" s="5" t="inlineStr">
        <is>
          <t>—</t>
        </is>
      </c>
      <c r="G9" s="5" t="inlineStr">
        <is>
          <t>Implemented</t>
        </is>
      </c>
      <c r="H9" s="5" t="inlineStr">
        <is>
          <t>Contact list for data-protection authorities, UAE TDRA/aeCERT and police kept in IMS-GOV-001.</t>
        </is>
      </c>
      <c r="I9" s="5" t="inlineStr">
        <is>
          <t>DPO</t>
        </is>
      </c>
    </row>
    <row r="10">
      <c r="A10" s="5" t="inlineStr">
        <is>
          <t>5.6</t>
        </is>
      </c>
      <c r="B10" s="5" t="inlineStr">
        <is>
          <t>Contact with special interest groups</t>
        </is>
      </c>
      <c r="C10" s="5" t="inlineStr">
        <is>
          <t>Organisational</t>
        </is>
      </c>
      <c r="D10" s="5" t="inlineStr">
        <is>
          <t>Yes</t>
        </is>
      </c>
      <c r="E10" s="5" t="inlineStr">
        <is>
          <t>B</t>
        </is>
      </c>
      <c r="F10" s="5" t="inlineStr">
        <is>
          <t>—</t>
        </is>
      </c>
      <c r="G10" s="5" t="inlineStr">
        <is>
          <t>Implemented</t>
        </is>
      </c>
      <c r="H10" s="5" t="inlineStr">
        <is>
          <t>Membership of a security community and an AI-safety practitioner forum; threat-intel feeds.</t>
        </is>
      </c>
      <c r="I10" s="5" t="inlineStr">
        <is>
          <t>CISO</t>
        </is>
      </c>
    </row>
    <row r="11">
      <c r="A11" s="5" t="inlineStr">
        <is>
          <t>5.7</t>
        </is>
      </c>
      <c r="B11" s="5" t="inlineStr">
        <is>
          <t>Threat intelligence</t>
        </is>
      </c>
      <c r="C11" s="5" t="inlineStr">
        <is>
          <t>Organisational</t>
        </is>
      </c>
      <c r="D11" s="5" t="inlineStr">
        <is>
          <t>Yes</t>
        </is>
      </c>
      <c r="E11" s="5" t="inlineStr">
        <is>
          <t>R</t>
        </is>
      </c>
      <c r="F11" s="5" t="inlineStr">
        <is>
          <t>RSK-IS-002, RSK-IS-005</t>
        </is>
      </c>
      <c r="G11" s="5" t="inlineStr">
        <is>
          <t>Implemented</t>
        </is>
      </c>
      <c r="H11" s="5" t="inlineStr">
        <is>
          <t>Vendor advisories, dependency alerts and AI-attack research reviewed weekly by the Security Lead.</t>
        </is>
      </c>
      <c r="I11" s="5" t="inlineStr">
        <is>
          <t>CISO</t>
        </is>
      </c>
    </row>
    <row r="12">
      <c r="A12" s="5" t="inlineStr">
        <is>
          <t>5.8</t>
        </is>
      </c>
      <c r="B12" s="5" t="inlineStr">
        <is>
          <t>Information security in project management</t>
        </is>
      </c>
      <c r="C12" s="5" t="inlineStr">
        <is>
          <t>Organisational</t>
        </is>
      </c>
      <c r="D12" s="5" t="inlineStr">
        <is>
          <t>Yes</t>
        </is>
      </c>
      <c r="E12" s="5" t="inlineStr">
        <is>
          <t>R</t>
        </is>
      </c>
      <c r="F12" s="5" t="inlineStr">
        <is>
          <t>RSK-IS-005</t>
        </is>
      </c>
      <c r="G12" s="5" t="inlineStr">
        <is>
          <t>Implemented</t>
        </is>
      </c>
      <c r="H12" s="5" t="inlineStr">
        <is>
          <t>Security and AI checklist at the requirements gate of IMS-POL-002.</t>
        </is>
      </c>
      <c r="I12" s="5" t="inlineStr">
        <is>
          <t>CTO</t>
        </is>
      </c>
    </row>
    <row r="13">
      <c r="A13" s="5" t="inlineStr">
        <is>
          <t>5.9</t>
        </is>
      </c>
      <c r="B13" s="5" t="inlineStr">
        <is>
          <t>Inventory of information and other associated assets</t>
        </is>
      </c>
      <c r="C13" s="5" t="inlineStr">
        <is>
          <t>Organisational</t>
        </is>
      </c>
      <c r="D13" s="5" t="inlineStr">
        <is>
          <t>Yes</t>
        </is>
      </c>
      <c r="E13" s="5" t="inlineStr">
        <is>
          <t>R</t>
        </is>
      </c>
      <c r="F13" s="5" t="inlineStr">
        <is>
          <t>All</t>
        </is>
      </c>
      <c r="G13" s="5" t="inlineStr">
        <is>
          <t>Implemented</t>
        </is>
      </c>
      <c r="H13" s="5" t="inlineStr">
        <is>
          <t>IMS-REG-005 asset and AI system inventory, reviewed quarterly.</t>
        </is>
      </c>
      <c r="I13" s="5" t="inlineStr">
        <is>
          <t>CISO</t>
        </is>
      </c>
    </row>
    <row r="14">
      <c r="A14" s="5" t="inlineStr">
        <is>
          <t>5.10</t>
        </is>
      </c>
      <c r="B14" s="5" t="inlineStr">
        <is>
          <t>Acceptable use of information and assets</t>
        </is>
      </c>
      <c r="C14" s="5" t="inlineStr">
        <is>
          <t>Organisational</t>
        </is>
      </c>
      <c r="D14" s="5" t="inlineStr">
        <is>
          <t>Yes</t>
        </is>
      </c>
      <c r="E14" s="5" t="inlineStr">
        <is>
          <t>R</t>
        </is>
      </c>
      <c r="F14" s="5" t="inlineStr">
        <is>
          <t>RSK-IS-003</t>
        </is>
      </c>
      <c r="G14" s="5" t="inlineStr">
        <is>
          <t>Implemented</t>
        </is>
      </c>
      <c r="H14" s="5" t="inlineStr">
        <is>
          <t>IMS-POL-005 including the generative-AI rules; signed on joining.</t>
        </is>
      </c>
      <c r="I14" s="5" t="inlineStr">
        <is>
          <t>CISO</t>
        </is>
      </c>
    </row>
    <row r="15">
      <c r="A15" s="5" t="inlineStr">
        <is>
          <t>5.11</t>
        </is>
      </c>
      <c r="B15" s="5" t="inlineStr">
        <is>
          <t>Return of assets</t>
        </is>
      </c>
      <c r="C15" s="5" t="inlineStr">
        <is>
          <t>Organisational</t>
        </is>
      </c>
      <c r="D15" s="5" t="inlineStr">
        <is>
          <t>Yes</t>
        </is>
      </c>
      <c r="E15" s="5" t="inlineStr">
        <is>
          <t>R</t>
        </is>
      </c>
      <c r="F15" s="5" t="inlineStr">
        <is>
          <t>—</t>
        </is>
      </c>
      <c r="G15" s="5" t="inlineStr">
        <is>
          <t>Implemented</t>
        </is>
      </c>
      <c r="H15" s="5" t="inlineStr">
        <is>
          <t>Leaver checklist: laptop return or remote wipe confirmed by MDM.</t>
        </is>
      </c>
      <c r="I15" s="5" t="inlineStr">
        <is>
          <t>HOP</t>
        </is>
      </c>
    </row>
    <row r="16">
      <c r="A16" s="5" t="inlineStr">
        <is>
          <t>5.12</t>
        </is>
      </c>
      <c r="B16" s="5" t="inlineStr">
        <is>
          <t>Classification of information</t>
        </is>
      </c>
      <c r="C16" s="5" t="inlineStr">
        <is>
          <t>Organisational</t>
        </is>
      </c>
      <c r="D16" s="5" t="inlineStr">
        <is>
          <t>Yes</t>
        </is>
      </c>
      <c r="E16" s="5" t="inlineStr">
        <is>
          <t>R,C</t>
        </is>
      </c>
      <c r="F16" s="5" t="inlineStr">
        <is>
          <t>RSK-IS-001</t>
        </is>
      </c>
      <c r="G16" s="5" t="inlineStr">
        <is>
          <t>Implemented</t>
        </is>
      </c>
      <c r="H16" s="5" t="inlineStr">
        <is>
          <t>Four levels (Public, Internal, Confidential, Restricted) in IMS-POL-003.</t>
        </is>
      </c>
      <c r="I16" s="5" t="inlineStr">
        <is>
          <t>HOD</t>
        </is>
      </c>
    </row>
    <row r="17">
      <c r="A17" s="5" t="inlineStr">
        <is>
          <t>5.13</t>
        </is>
      </c>
      <c r="B17" s="5" t="inlineStr">
        <is>
          <t>Labelling of information</t>
        </is>
      </c>
      <c r="C17" s="5" t="inlineStr">
        <is>
          <t>Organisational</t>
        </is>
      </c>
      <c r="D17" s="5" t="inlineStr">
        <is>
          <t>Yes</t>
        </is>
      </c>
      <c r="E17" s="5" t="inlineStr">
        <is>
          <t>C</t>
        </is>
      </c>
      <c r="F17" s="5" t="inlineStr">
        <is>
          <t>—</t>
        </is>
      </c>
      <c r="G17" s="5" t="inlineStr">
        <is>
          <t>Implemented</t>
        </is>
      </c>
      <c r="H17" s="5" t="inlineStr">
        <is>
          <t>Document headers and storage-bucket tags show classification.</t>
        </is>
      </c>
      <c r="I17" s="5" t="inlineStr">
        <is>
          <t>HOD</t>
        </is>
      </c>
    </row>
    <row r="18">
      <c r="A18" s="5" t="inlineStr">
        <is>
          <t>5.14</t>
        </is>
      </c>
      <c r="B18" s="5" t="inlineStr">
        <is>
          <t>Information transfer</t>
        </is>
      </c>
      <c r="C18" s="5" t="inlineStr">
        <is>
          <t>Organisational</t>
        </is>
      </c>
      <c r="D18" s="5" t="inlineStr">
        <is>
          <t>Yes</t>
        </is>
      </c>
      <c r="E18" s="5" t="inlineStr">
        <is>
          <t>R,C</t>
        </is>
      </c>
      <c r="F18" s="5" t="inlineStr">
        <is>
          <t>RSK-IS-001</t>
        </is>
      </c>
      <c r="G18" s="5" t="inlineStr">
        <is>
          <t>Implemented</t>
        </is>
      </c>
      <c r="H18" s="5" t="inlineStr">
        <is>
          <t>Encrypted transfer only; customer exports through signed, expiring links.</t>
        </is>
      </c>
      <c r="I18" s="5" t="inlineStr">
        <is>
          <t>CTO</t>
        </is>
      </c>
    </row>
    <row r="19">
      <c r="A19" s="5" t="inlineStr">
        <is>
          <t>5.15</t>
        </is>
      </c>
      <c r="B19" s="5" t="inlineStr">
        <is>
          <t>Access control</t>
        </is>
      </c>
      <c r="C19" s="5" t="inlineStr">
        <is>
          <t>Organisational</t>
        </is>
      </c>
      <c r="D19" s="5" t="inlineStr">
        <is>
          <t>Yes</t>
        </is>
      </c>
      <c r="E19" s="5" t="inlineStr">
        <is>
          <t>R</t>
        </is>
      </c>
      <c r="F19" s="5" t="inlineStr">
        <is>
          <t>RSK-IS-002</t>
        </is>
      </c>
      <c r="G19" s="5" t="inlineStr">
        <is>
          <t>Implemented</t>
        </is>
      </c>
      <c r="H19" s="5" t="inlineStr">
        <is>
          <t>IMS-POL-004 access control policy.</t>
        </is>
      </c>
      <c r="I19" s="5" t="inlineStr">
        <is>
          <t>CISO</t>
        </is>
      </c>
    </row>
    <row r="20">
      <c r="A20" s="5" t="inlineStr">
        <is>
          <t>5.16</t>
        </is>
      </c>
      <c r="B20" s="5" t="inlineStr">
        <is>
          <t>Identity management</t>
        </is>
      </c>
      <c r="C20" s="5" t="inlineStr">
        <is>
          <t>Organisational</t>
        </is>
      </c>
      <c r="D20" s="5" t="inlineStr">
        <is>
          <t>Yes</t>
        </is>
      </c>
      <c r="E20" s="5" t="inlineStr">
        <is>
          <t>R</t>
        </is>
      </c>
      <c r="F20" s="5" t="inlineStr">
        <is>
          <t>RSK-IS-002</t>
        </is>
      </c>
      <c r="G20" s="5" t="inlineStr">
        <is>
          <t>Implemented</t>
        </is>
      </c>
      <c r="H20" s="5" t="inlineStr">
        <is>
          <t>One identity per person in the SSO provider; joiner/mover/leaver workflow.</t>
        </is>
      </c>
      <c r="I20" s="5" t="inlineStr">
        <is>
          <t>CISO</t>
        </is>
      </c>
    </row>
    <row r="21">
      <c r="A21" s="5" t="inlineStr">
        <is>
          <t>5.17</t>
        </is>
      </c>
      <c r="B21" s="5" t="inlineStr">
        <is>
          <t>Authentication information</t>
        </is>
      </c>
      <c r="C21" s="5" t="inlineStr">
        <is>
          <t>Organisational</t>
        </is>
      </c>
      <c r="D21" s="5" t="inlineStr">
        <is>
          <t>Yes</t>
        </is>
      </c>
      <c r="E21" s="5" t="inlineStr">
        <is>
          <t>R</t>
        </is>
      </c>
      <c r="F21" s="5" t="inlineStr">
        <is>
          <t>RSK-IS-002</t>
        </is>
      </c>
      <c r="G21" s="5" t="inlineStr">
        <is>
          <t>Implemented</t>
        </is>
      </c>
      <c r="H21" s="5" t="inlineStr">
        <is>
          <t>Passkeys / security keys for staff; password manager; no shared accounts.</t>
        </is>
      </c>
      <c r="I21" s="5" t="inlineStr">
        <is>
          <t>CISO</t>
        </is>
      </c>
    </row>
    <row r="22">
      <c r="A22" s="5" t="inlineStr">
        <is>
          <t>5.18</t>
        </is>
      </c>
      <c r="B22" s="5" t="inlineStr">
        <is>
          <t>Access rights</t>
        </is>
      </c>
      <c r="C22" s="5" t="inlineStr">
        <is>
          <t>Organisational</t>
        </is>
      </c>
      <c r="D22" s="5" t="inlineStr">
        <is>
          <t>Yes</t>
        </is>
      </c>
      <c r="E22" s="5" t="inlineStr">
        <is>
          <t>R</t>
        </is>
      </c>
      <c r="F22" s="5" t="inlineStr">
        <is>
          <t>RSK-IS-002</t>
        </is>
      </c>
      <c r="G22" s="5" t="inlineStr">
        <is>
          <t>Implemented</t>
        </is>
      </c>
      <c r="H22" s="5" t="inlineStr">
        <is>
          <t>Quarterly access reviews recorded; least privilege by role.</t>
        </is>
      </c>
      <c r="I22" s="5" t="inlineStr">
        <is>
          <t>CISO</t>
        </is>
      </c>
    </row>
    <row r="23">
      <c r="A23" s="5" t="inlineStr">
        <is>
          <t>5.19</t>
        </is>
      </c>
      <c r="B23" s="5" t="inlineStr">
        <is>
          <t>Information security in supplier relationships</t>
        </is>
      </c>
      <c r="C23" s="5" t="inlineStr">
        <is>
          <t>Organisational</t>
        </is>
      </c>
      <c r="D23" s="5" t="inlineStr">
        <is>
          <t>Yes</t>
        </is>
      </c>
      <c r="E23" s="5" t="inlineStr">
        <is>
          <t>R,C</t>
        </is>
      </c>
      <c r="F23" s="5" t="inlineStr">
        <is>
          <t>RSK-AI-005</t>
        </is>
      </c>
      <c r="G23" s="5" t="inlineStr">
        <is>
          <t>Implemented</t>
        </is>
      </c>
      <c r="H23" s="5" t="inlineStr">
        <is>
          <t>IMS-POL-006 supplier tiers and due diligence, including AI-specific questions.</t>
        </is>
      </c>
      <c r="I23" s="5" t="inlineStr">
        <is>
          <t>DPO</t>
        </is>
      </c>
    </row>
    <row r="24">
      <c r="A24" s="5" t="inlineStr">
        <is>
          <t>5.20</t>
        </is>
      </c>
      <c r="B24" s="5" t="inlineStr">
        <is>
          <t>Security within supplier agreements</t>
        </is>
      </c>
      <c r="C24" s="5" t="inlineStr">
        <is>
          <t>Organisational</t>
        </is>
      </c>
      <c r="D24" s="5" t="inlineStr">
        <is>
          <t>Yes</t>
        </is>
      </c>
      <c r="E24" s="5" t="inlineStr">
        <is>
          <t>R,C</t>
        </is>
      </c>
      <c r="F24" s="5" t="inlineStr">
        <is>
          <t>RSK-AI-005</t>
        </is>
      </c>
      <c r="G24" s="5" t="inlineStr">
        <is>
          <t>Partially implemented</t>
        </is>
      </c>
      <c r="H24" s="5" t="inlineStr">
        <is>
          <t>Contract clause library; AI model-change clause being added (CA-2026-004).</t>
        </is>
      </c>
      <c r="I24" s="5" t="inlineStr">
        <is>
          <t>DPO</t>
        </is>
      </c>
    </row>
    <row r="25">
      <c r="A25" s="5" t="inlineStr">
        <is>
          <t>5.21</t>
        </is>
      </c>
      <c r="B25" s="5" t="inlineStr">
        <is>
          <t>ICT supply chain security</t>
        </is>
      </c>
      <c r="C25" s="5" t="inlineStr">
        <is>
          <t>Organisational</t>
        </is>
      </c>
      <c r="D25" s="5" t="inlineStr">
        <is>
          <t>Yes</t>
        </is>
      </c>
      <c r="E25" s="5" t="inlineStr">
        <is>
          <t>R</t>
        </is>
      </c>
      <c r="F25" s="5" t="inlineStr">
        <is>
          <t>RSK-IS-005, RSK-AI-005</t>
        </is>
      </c>
      <c r="G25" s="5" t="inlineStr">
        <is>
          <t>Implemented</t>
        </is>
      </c>
      <c r="H25" s="5" t="inlineStr">
        <is>
          <t>SBOM for releases; dependency scanning; model provenance checks.</t>
        </is>
      </c>
      <c r="I25" s="5" t="inlineStr">
        <is>
          <t>CTO</t>
        </is>
      </c>
    </row>
    <row r="26">
      <c r="A26" s="5" t="inlineStr">
        <is>
          <t>5.22</t>
        </is>
      </c>
      <c r="B26" s="5" t="inlineStr">
        <is>
          <t>Monitoring and change of supplier services</t>
        </is>
      </c>
      <c r="C26" s="5" t="inlineStr">
        <is>
          <t>Organisational</t>
        </is>
      </c>
      <c r="D26" s="5" t="inlineStr">
        <is>
          <t>Yes</t>
        </is>
      </c>
      <c r="E26" s="5" t="inlineStr">
        <is>
          <t>R</t>
        </is>
      </c>
      <c r="F26" s="5" t="inlineStr">
        <is>
          <t>RSK-AI-005</t>
        </is>
      </c>
      <c r="G26" s="5" t="inlineStr">
        <is>
          <t>Partially implemented</t>
        </is>
      </c>
      <c r="H26" s="5" t="inlineStr">
        <is>
          <t>Annual review of Tier 1 suppliers; weekly SafeFrame canary tests; change notices being contracted (NC-2026-003).</t>
        </is>
      </c>
      <c r="I26" s="5" t="inlineStr">
        <is>
          <t>DPO</t>
        </is>
      </c>
    </row>
    <row r="27">
      <c r="A27" s="5" t="inlineStr">
        <is>
          <t>5.23</t>
        </is>
      </c>
      <c r="B27" s="5" t="inlineStr">
        <is>
          <t>Security for use of cloud services</t>
        </is>
      </c>
      <c r="C27" s="5" t="inlineStr">
        <is>
          <t>Organisational</t>
        </is>
      </c>
      <c r="D27" s="5" t="inlineStr">
        <is>
          <t>Yes</t>
        </is>
      </c>
      <c r="E27" s="5" t="inlineStr">
        <is>
          <t>R</t>
        </is>
      </c>
      <c r="F27" s="5" t="inlineStr">
        <is>
          <t>RSK-IS-001, RSK-IS-004</t>
        </is>
      </c>
      <c r="G27" s="5" t="inlineStr">
        <is>
          <t>Implemented</t>
        </is>
      </c>
      <c r="H27" s="5" t="inlineStr">
        <is>
          <t>Cloud security baseline, posture monitoring and exit plan in IMS-POL-006.</t>
        </is>
      </c>
      <c r="I27" s="5" t="inlineStr">
        <is>
          <t>SRE</t>
        </is>
      </c>
    </row>
    <row r="28">
      <c r="A28" s="5" t="inlineStr">
        <is>
          <t>5.24</t>
        </is>
      </c>
      <c r="B28" s="5" t="inlineStr">
        <is>
          <t>Incident management planning and preparation</t>
        </is>
      </c>
      <c r="C28" s="5" t="inlineStr">
        <is>
          <t>Organisational</t>
        </is>
      </c>
      <c r="D28" s="5" t="inlineStr">
        <is>
          <t>Yes</t>
        </is>
      </c>
      <c r="E28" s="5" t="inlineStr">
        <is>
          <t>R,L</t>
        </is>
      </c>
      <c r="F28" s="5" t="inlineStr">
        <is>
          <t>All</t>
        </is>
      </c>
      <c r="G28" s="5" t="inlineStr">
        <is>
          <t>Implemented</t>
        </is>
      </c>
      <c r="H28" s="5" t="inlineStr">
        <is>
          <t>IMS-PRO-005 incident procedure; on-call rota.</t>
        </is>
      </c>
      <c r="I28" s="5" t="inlineStr">
        <is>
          <t>CISO</t>
        </is>
      </c>
    </row>
    <row r="29">
      <c r="A29" s="5" t="inlineStr">
        <is>
          <t>5.25</t>
        </is>
      </c>
      <c r="B29" s="5" t="inlineStr">
        <is>
          <t>Assessment and decision on security events</t>
        </is>
      </c>
      <c r="C29" s="5" t="inlineStr">
        <is>
          <t>Organisational</t>
        </is>
      </c>
      <c r="D29" s="5" t="inlineStr">
        <is>
          <t>Yes</t>
        </is>
      </c>
      <c r="E29" s="5" t="inlineStr">
        <is>
          <t>R</t>
        </is>
      </c>
      <c r="F29" s="5" t="inlineStr">
        <is>
          <t>All</t>
        </is>
      </c>
      <c r="G29" s="5" t="inlineStr">
        <is>
          <t>Implemented</t>
        </is>
      </c>
      <c r="H29" s="5" t="inlineStr">
        <is>
          <t>Triage and severity matrix S1–S4 in IMS-PRO-005.</t>
        </is>
      </c>
      <c r="I29" s="5" t="inlineStr">
        <is>
          <t>CISO</t>
        </is>
      </c>
    </row>
    <row r="30">
      <c r="A30" s="5" t="inlineStr">
        <is>
          <t>5.26</t>
        </is>
      </c>
      <c r="B30" s="5" t="inlineStr">
        <is>
          <t>Response to incidents</t>
        </is>
      </c>
      <c r="C30" s="5" t="inlineStr">
        <is>
          <t>Organisational</t>
        </is>
      </c>
      <c r="D30" s="5" t="inlineStr">
        <is>
          <t>Yes</t>
        </is>
      </c>
      <c r="E30" s="5" t="inlineStr">
        <is>
          <t>R,L</t>
        </is>
      </c>
      <c r="F30" s="5" t="inlineStr">
        <is>
          <t>All</t>
        </is>
      </c>
      <c r="G30" s="5" t="inlineStr">
        <is>
          <t>Implemented</t>
        </is>
      </c>
      <c r="H30" s="5" t="inlineStr">
        <is>
          <t>Playbooks for account takeover, data exposure and AI content-safety incidents.</t>
        </is>
      </c>
      <c r="I30" s="5" t="inlineStr">
        <is>
          <t>CISO</t>
        </is>
      </c>
    </row>
    <row r="31">
      <c r="A31" s="5" t="inlineStr">
        <is>
          <t>5.27</t>
        </is>
      </c>
      <c r="B31" s="5" t="inlineStr">
        <is>
          <t>Learning from incidents</t>
        </is>
      </c>
      <c r="C31" s="5" t="inlineStr">
        <is>
          <t>Organisational</t>
        </is>
      </c>
      <c r="D31" s="5" t="inlineStr">
        <is>
          <t>Yes</t>
        </is>
      </c>
      <c r="E31" s="5" t="inlineStr">
        <is>
          <t>B</t>
        </is>
      </c>
      <c r="F31" s="5" t="inlineStr">
        <is>
          <t>All</t>
        </is>
      </c>
      <c r="G31" s="5" t="inlineStr">
        <is>
          <t>Implemented</t>
        </is>
      </c>
      <c r="H31" s="5" t="inlineStr">
        <is>
          <t>Blameless post-incident review for every S1/S2; lessons in IMS-REG-006.</t>
        </is>
      </c>
      <c r="I31" s="5" t="inlineStr">
        <is>
          <t>CISO</t>
        </is>
      </c>
    </row>
    <row r="32">
      <c r="A32" s="5" t="inlineStr">
        <is>
          <t>5.28</t>
        </is>
      </c>
      <c r="B32" s="5" t="inlineStr">
        <is>
          <t>Collection of evidence</t>
        </is>
      </c>
      <c r="C32" s="5" t="inlineStr">
        <is>
          <t>Organisational</t>
        </is>
      </c>
      <c r="D32" s="5" t="inlineStr">
        <is>
          <t>Yes</t>
        </is>
      </c>
      <c r="E32" s="5" t="inlineStr">
        <is>
          <t>L</t>
        </is>
      </c>
      <c r="F32" s="5" t="inlineStr">
        <is>
          <t>—</t>
        </is>
      </c>
      <c r="G32" s="5" t="inlineStr">
        <is>
          <t>Implemented</t>
        </is>
      </c>
      <c r="H32" s="5" t="inlineStr">
        <is>
          <t>Evidence handling steps and log retention in IMS-PRO-005.</t>
        </is>
      </c>
      <c r="I32" s="5" t="inlineStr">
        <is>
          <t>CISO</t>
        </is>
      </c>
    </row>
    <row r="33">
      <c r="A33" s="5" t="inlineStr">
        <is>
          <t>5.29</t>
        </is>
      </c>
      <c r="B33" s="5" t="inlineStr">
        <is>
          <t>Information security during disruption</t>
        </is>
      </c>
      <c r="C33" s="5" t="inlineStr">
        <is>
          <t>Organisational</t>
        </is>
      </c>
      <c r="D33" s="5" t="inlineStr">
        <is>
          <t>Yes</t>
        </is>
      </c>
      <c r="E33" s="5" t="inlineStr">
        <is>
          <t>R</t>
        </is>
      </c>
      <c r="F33" s="5" t="inlineStr">
        <is>
          <t>RSK-IS-004</t>
        </is>
      </c>
      <c r="G33" s="5" t="inlineStr">
        <is>
          <t>Implemented</t>
        </is>
      </c>
      <c r="H33" s="5" t="inlineStr">
        <is>
          <t>Security controls stay on in fail-over mode (IMS-PRO-006).</t>
        </is>
      </c>
      <c r="I33" s="5" t="inlineStr">
        <is>
          <t>SRE</t>
        </is>
      </c>
    </row>
    <row r="34">
      <c r="A34" s="5" t="inlineStr">
        <is>
          <t>5.30</t>
        </is>
      </c>
      <c r="B34" s="5" t="inlineStr">
        <is>
          <t>ICT readiness for business continuity</t>
        </is>
      </c>
      <c r="C34" s="5" t="inlineStr">
        <is>
          <t>Organisational</t>
        </is>
      </c>
      <c r="D34" s="5" t="inlineStr">
        <is>
          <t>Yes</t>
        </is>
      </c>
      <c r="E34" s="5" t="inlineStr">
        <is>
          <t>R,C</t>
        </is>
      </c>
      <c r="F34" s="5" t="inlineStr">
        <is>
          <t>RSK-IS-004</t>
        </is>
      </c>
      <c r="G34" s="5" t="inlineStr">
        <is>
          <t>Partially implemented</t>
        </is>
      </c>
      <c r="H34" s="5" t="inlineStr">
        <is>
          <t>RTO/RPO set in IMS-PRO-006; region fail-over test planned for Q1 2027.</t>
        </is>
      </c>
      <c r="I34" s="5" t="inlineStr">
        <is>
          <t>SRE</t>
        </is>
      </c>
    </row>
    <row r="35">
      <c r="A35" s="5" t="inlineStr">
        <is>
          <t>5.31</t>
        </is>
      </c>
      <c r="B35" s="5" t="inlineStr">
        <is>
          <t>Legal, statutory, regulatory and contractual requirements</t>
        </is>
      </c>
      <c r="C35" s="5" t="inlineStr">
        <is>
          <t>Organisational</t>
        </is>
      </c>
      <c r="D35" s="5" t="inlineStr">
        <is>
          <t>Yes</t>
        </is>
      </c>
      <c r="E35" s="5" t="inlineStr">
        <is>
          <t>L,C</t>
        </is>
      </c>
      <c r="F35" s="5" t="inlineStr">
        <is>
          <t>—</t>
        </is>
      </c>
      <c r="G35" s="5" t="inlineStr">
        <is>
          <t>Implemented</t>
        </is>
      </c>
      <c r="H35" s="5" t="inlineStr">
        <is>
          <t>Legal register in IMS-REG-001, reviewed every 6 months.</t>
        </is>
      </c>
      <c r="I35" s="5" t="inlineStr">
        <is>
          <t>DPO</t>
        </is>
      </c>
    </row>
    <row r="36">
      <c r="A36" s="5" t="inlineStr">
        <is>
          <t>5.32</t>
        </is>
      </c>
      <c r="B36" s="5" t="inlineStr">
        <is>
          <t>Intellectual property rights</t>
        </is>
      </c>
      <c r="C36" s="5" t="inlineStr">
        <is>
          <t>Organisational</t>
        </is>
      </c>
      <c r="D36" s="5" t="inlineStr">
        <is>
          <t>Yes</t>
        </is>
      </c>
      <c r="E36" s="5" t="inlineStr">
        <is>
          <t>L,C</t>
        </is>
      </c>
      <c r="F36" s="5" t="inlineStr">
        <is>
          <t>RSK-AI-001</t>
        </is>
      </c>
      <c r="G36" s="5" t="inlineStr">
        <is>
          <t>Implemented</t>
        </is>
      </c>
      <c r="H36" s="5" t="inlineStr">
        <is>
          <t>Licence and consent ledger for artwork; open-source licence scanning.</t>
        </is>
      </c>
      <c r="I36" s="5" t="inlineStr">
        <is>
          <t>LEGAL</t>
        </is>
      </c>
    </row>
    <row r="37">
      <c r="A37" s="5" t="inlineStr">
        <is>
          <t>5.33</t>
        </is>
      </c>
      <c r="B37" s="5" t="inlineStr">
        <is>
          <t>Protection of records</t>
        </is>
      </c>
      <c r="C37" s="5" t="inlineStr">
        <is>
          <t>Organisational</t>
        </is>
      </c>
      <c r="D37" s="5" t="inlineStr">
        <is>
          <t>Yes</t>
        </is>
      </c>
      <c r="E37" s="5" t="inlineStr">
        <is>
          <t>L</t>
        </is>
      </c>
      <c r="F37" s="5" t="inlineStr">
        <is>
          <t>—</t>
        </is>
      </c>
      <c r="G37" s="5" t="inlineStr">
        <is>
          <t>Implemented</t>
        </is>
      </c>
      <c r="H37" s="5" t="inlineStr">
        <is>
          <t>Retention schedule in IMS-PRO-004; immutable storage for audit logs.</t>
        </is>
      </c>
      <c r="I37" s="5" t="inlineStr">
        <is>
          <t>IMSC</t>
        </is>
      </c>
    </row>
    <row r="38">
      <c r="A38" s="5" t="inlineStr">
        <is>
          <t>5.34</t>
        </is>
      </c>
      <c r="B38" s="5" t="inlineStr">
        <is>
          <t>Privacy and protection of personal data</t>
        </is>
      </c>
      <c r="C38" s="5" t="inlineStr">
        <is>
          <t>Organisational</t>
        </is>
      </c>
      <c r="D38" s="5" t="inlineStr">
        <is>
          <t>Yes</t>
        </is>
      </c>
      <c r="E38" s="5" t="inlineStr">
        <is>
          <t>L</t>
        </is>
      </c>
      <c r="F38" s="5" t="inlineStr">
        <is>
          <t>RSK-IS-001</t>
        </is>
      </c>
      <c r="G38" s="5" t="inlineStr">
        <is>
          <t>Implemented</t>
        </is>
      </c>
      <c r="H38" s="5" t="inlineStr">
        <is>
          <t>Privacy programme, records of processing and DPIAs in IMS-POL-003.</t>
        </is>
      </c>
      <c r="I38" s="5" t="inlineStr">
        <is>
          <t>DPO</t>
        </is>
      </c>
    </row>
    <row r="39">
      <c r="A39" s="5" t="inlineStr">
        <is>
          <t>5.35</t>
        </is>
      </c>
      <c r="B39" s="5" t="inlineStr">
        <is>
          <t>Independent review of information security</t>
        </is>
      </c>
      <c r="C39" s="5" t="inlineStr">
        <is>
          <t>Organisational</t>
        </is>
      </c>
      <c r="D39" s="5" t="inlineStr">
        <is>
          <t>Yes</t>
        </is>
      </c>
      <c r="E39" s="5" t="inlineStr">
        <is>
          <t>B</t>
        </is>
      </c>
      <c r="F39" s="5" t="inlineStr">
        <is>
          <t>—</t>
        </is>
      </c>
      <c r="G39" s="5" t="inlineStr">
        <is>
          <t>Implemented</t>
        </is>
      </c>
      <c r="H39" s="5" t="inlineStr">
        <is>
          <t>Internal audit by a contracted independent auditor (IMS-PRO-007); yearly penetration test.</t>
        </is>
      </c>
      <c r="I39" s="5" t="inlineStr">
        <is>
          <t>IMSC</t>
        </is>
      </c>
    </row>
    <row r="40">
      <c r="A40" s="5" t="inlineStr">
        <is>
          <t>5.36</t>
        </is>
      </c>
      <c r="B40" s="5" t="inlineStr">
        <is>
          <t>Compliance with policies, rules and standards</t>
        </is>
      </c>
      <c r="C40" s="5" t="inlineStr">
        <is>
          <t>Organisational</t>
        </is>
      </c>
      <c r="D40" s="5" t="inlineStr">
        <is>
          <t>Yes</t>
        </is>
      </c>
      <c r="E40" s="5" t="inlineStr">
        <is>
          <t>B</t>
        </is>
      </c>
      <c r="F40" s="5" t="inlineStr">
        <is>
          <t>—</t>
        </is>
      </c>
      <c r="G40" s="5" t="inlineStr">
        <is>
          <t>Implemented</t>
        </is>
      </c>
      <c r="H40" s="5" t="inlineStr">
        <is>
          <t>Automated policy checks in CI and cloud posture tool; findings to IMS-REG-008.</t>
        </is>
      </c>
      <c r="I40" s="5" t="inlineStr">
        <is>
          <t>CISO</t>
        </is>
      </c>
    </row>
    <row r="41">
      <c r="A41" s="5" t="inlineStr">
        <is>
          <t>5.37</t>
        </is>
      </c>
      <c r="B41" s="5" t="inlineStr">
        <is>
          <t>Documented operating procedures</t>
        </is>
      </c>
      <c r="C41" s="5" t="inlineStr">
        <is>
          <t>Organisational</t>
        </is>
      </c>
      <c r="D41" s="5" t="inlineStr">
        <is>
          <t>Yes</t>
        </is>
      </c>
      <c r="E41" s="5" t="inlineStr">
        <is>
          <t>B</t>
        </is>
      </c>
      <c r="F41" s="5" t="inlineStr">
        <is>
          <t>—</t>
        </is>
      </c>
      <c r="G41" s="5" t="inlineStr">
        <is>
          <t>Implemented</t>
        </is>
      </c>
      <c r="H41" s="5" t="inlineStr">
        <is>
          <t>Runbooks in the engineering wiki, linked from IMS-PRO-004.</t>
        </is>
      </c>
      <c r="I41" s="5" t="inlineStr">
        <is>
          <t>SRE</t>
        </is>
      </c>
    </row>
    <row r="42">
      <c r="A42" s="5" t="inlineStr">
        <is>
          <t>6.1</t>
        </is>
      </c>
      <c r="B42" s="5" t="inlineStr">
        <is>
          <t>Screening</t>
        </is>
      </c>
      <c r="C42" s="5" t="inlineStr">
        <is>
          <t>People</t>
        </is>
      </c>
      <c r="D42" s="5" t="inlineStr">
        <is>
          <t>Yes</t>
        </is>
      </c>
      <c r="E42" s="5" t="inlineStr">
        <is>
          <t>R,L</t>
        </is>
      </c>
      <c r="F42" s="5" t="inlineStr">
        <is>
          <t>RSK-IS-002</t>
        </is>
      </c>
      <c r="G42" s="5" t="inlineStr">
        <is>
          <t>Implemented</t>
        </is>
      </c>
      <c r="H42" s="5" t="inlineStr">
        <is>
          <t>Reference and identity checks proportionate to role and local law.</t>
        </is>
      </c>
      <c r="I42" s="5" t="inlineStr">
        <is>
          <t>HOP</t>
        </is>
      </c>
    </row>
    <row r="43">
      <c r="A43" s="5" t="inlineStr">
        <is>
          <t>6.2</t>
        </is>
      </c>
      <c r="B43" s="5" t="inlineStr">
        <is>
          <t>Terms and conditions of employment</t>
        </is>
      </c>
      <c r="C43" s="5" t="inlineStr">
        <is>
          <t>People</t>
        </is>
      </c>
      <c r="D43" s="5" t="inlineStr">
        <is>
          <t>Yes</t>
        </is>
      </c>
      <c r="E43" s="5" t="inlineStr">
        <is>
          <t>L</t>
        </is>
      </c>
      <c r="F43" s="5" t="inlineStr">
        <is>
          <t>—</t>
        </is>
      </c>
      <c r="G43" s="5" t="inlineStr">
        <is>
          <t>Implemented</t>
        </is>
      </c>
      <c r="H43" s="5" t="inlineStr">
        <is>
          <t>Contracts and contractor agreements include confidentiality, IP and policy obligations.</t>
        </is>
      </c>
      <c r="I43" s="5" t="inlineStr">
        <is>
          <t>HOP</t>
        </is>
      </c>
    </row>
    <row r="44">
      <c r="A44" s="5" t="inlineStr">
        <is>
          <t>6.3</t>
        </is>
      </c>
      <c r="B44" s="5" t="inlineStr">
        <is>
          <t>Information security awareness, education and training</t>
        </is>
      </c>
      <c r="C44" s="5" t="inlineStr">
        <is>
          <t>People</t>
        </is>
      </c>
      <c r="D44" s="5" t="inlineStr">
        <is>
          <t>Yes</t>
        </is>
      </c>
      <c r="E44" s="5" t="inlineStr">
        <is>
          <t>R</t>
        </is>
      </c>
      <c r="F44" s="5" t="inlineStr">
        <is>
          <t>RSK-IS-002, RSK-IS-003</t>
        </is>
      </c>
      <c r="G44" s="5" t="inlineStr">
        <is>
          <t>Partially implemented</t>
        </is>
      </c>
      <c r="H44" s="5" t="inlineStr">
        <is>
          <t>Training within 30 days and yearly; contractor gap found (NC-2026-004, CA-2026-005).</t>
        </is>
      </c>
      <c r="I44" s="5" t="inlineStr">
        <is>
          <t>HOP</t>
        </is>
      </c>
    </row>
    <row r="45">
      <c r="A45" s="5" t="inlineStr">
        <is>
          <t>6.4</t>
        </is>
      </c>
      <c r="B45" s="5" t="inlineStr">
        <is>
          <t>Disciplinary process</t>
        </is>
      </c>
      <c r="C45" s="5" t="inlineStr">
        <is>
          <t>People</t>
        </is>
      </c>
      <c r="D45" s="5" t="inlineStr">
        <is>
          <t>Yes</t>
        </is>
      </c>
      <c r="E45" s="5" t="inlineStr">
        <is>
          <t>B</t>
        </is>
      </c>
      <c r="F45" s="5" t="inlineStr">
        <is>
          <t>—</t>
        </is>
      </c>
      <c r="G45" s="5" t="inlineStr">
        <is>
          <t>Implemented</t>
        </is>
      </c>
      <c r="H45" s="5" t="inlineStr">
        <is>
          <t>HR disciplinary process covers policy breaches.</t>
        </is>
      </c>
      <c r="I45" s="5" t="inlineStr">
        <is>
          <t>HOP</t>
        </is>
      </c>
    </row>
    <row r="46">
      <c r="A46" s="5" t="inlineStr">
        <is>
          <t>6.5</t>
        </is>
      </c>
      <c r="B46" s="5" t="inlineStr">
        <is>
          <t>Responsibilities after termination or change of employment</t>
        </is>
      </c>
      <c r="C46" s="5" t="inlineStr">
        <is>
          <t>People</t>
        </is>
      </c>
      <c r="D46" s="5" t="inlineStr">
        <is>
          <t>Yes</t>
        </is>
      </c>
      <c r="E46" s="5" t="inlineStr">
        <is>
          <t>R</t>
        </is>
      </c>
      <c r="F46" s="5" t="inlineStr">
        <is>
          <t>—</t>
        </is>
      </c>
      <c r="G46" s="5" t="inlineStr">
        <is>
          <t>Implemented</t>
        </is>
      </c>
      <c r="H46" s="5" t="inlineStr">
        <is>
          <t>Confidentiality survives termination; leaver checklist.</t>
        </is>
      </c>
      <c r="I46" s="5" t="inlineStr">
        <is>
          <t>HOP</t>
        </is>
      </c>
    </row>
    <row r="47">
      <c r="A47" s="5" t="inlineStr">
        <is>
          <t>6.6</t>
        </is>
      </c>
      <c r="B47" s="5" t="inlineStr">
        <is>
          <t>Confidentiality or non-disclosure agreements</t>
        </is>
      </c>
      <c r="C47" s="5" t="inlineStr">
        <is>
          <t>People</t>
        </is>
      </c>
      <c r="D47" s="5" t="inlineStr">
        <is>
          <t>Yes</t>
        </is>
      </c>
      <c r="E47" s="5" t="inlineStr">
        <is>
          <t>C</t>
        </is>
      </c>
      <c r="F47" s="5" t="inlineStr">
        <is>
          <t>RSK-IS-001</t>
        </is>
      </c>
      <c r="G47" s="5" t="inlineStr">
        <is>
          <t>Implemented</t>
        </is>
      </c>
      <c r="H47" s="5" t="inlineStr">
        <is>
          <t>NDAs for staff, contractors, Artist Advisory Panel and suppliers.</t>
        </is>
      </c>
      <c r="I47" s="5" t="inlineStr">
        <is>
          <t>LEGAL</t>
        </is>
      </c>
    </row>
    <row r="48">
      <c r="A48" s="5" t="inlineStr">
        <is>
          <t>6.7</t>
        </is>
      </c>
      <c r="B48" s="5" t="inlineStr">
        <is>
          <t>Remote working</t>
        </is>
      </c>
      <c r="C48" s="5" t="inlineStr">
        <is>
          <t>People</t>
        </is>
      </c>
      <c r="D48" s="5" t="inlineStr">
        <is>
          <t>Yes</t>
        </is>
      </c>
      <c r="E48" s="5" t="inlineStr">
        <is>
          <t>R</t>
        </is>
      </c>
      <c r="F48" s="5" t="inlineStr">
        <is>
          <t>RSK-IS-002</t>
        </is>
      </c>
      <c r="G48" s="5" t="inlineStr">
        <is>
          <t>Implemented</t>
        </is>
      </c>
      <c r="H48" s="5" t="inlineStr">
        <is>
          <t>Remote-working rules in IMS-POL-005; managed laptops; no split tunnelling exceptions.</t>
        </is>
      </c>
      <c r="I48" s="5" t="inlineStr">
        <is>
          <t>CISO</t>
        </is>
      </c>
    </row>
    <row r="49">
      <c r="A49" s="5" t="inlineStr">
        <is>
          <t>6.8</t>
        </is>
      </c>
      <c r="B49" s="5" t="inlineStr">
        <is>
          <t>Information security event reporting</t>
        </is>
      </c>
      <c r="C49" s="5" t="inlineStr">
        <is>
          <t>People</t>
        </is>
      </c>
      <c r="D49" s="5" t="inlineStr">
        <is>
          <t>Yes</t>
        </is>
      </c>
      <c r="E49" s="5" t="inlineStr">
        <is>
          <t>R</t>
        </is>
      </c>
      <c r="F49" s="5" t="inlineStr">
        <is>
          <t>All</t>
        </is>
      </c>
      <c r="G49" s="5" t="inlineStr">
        <is>
          <t>Implemented</t>
        </is>
      </c>
      <c r="H49" s="5" t="inlineStr">
        <is>
          <t>#trust-report channel and trust@ mailbox; reporting taught at onboarding.</t>
        </is>
      </c>
      <c r="I49" s="5" t="inlineStr">
        <is>
          <t>CISO</t>
        </is>
      </c>
    </row>
    <row r="50">
      <c r="A50" s="5" t="inlineStr">
        <is>
          <t>7.1</t>
        </is>
      </c>
      <c r="B50" s="5" t="inlineStr">
        <is>
          <t>Physical security perimeters</t>
        </is>
      </c>
      <c r="C50" s="5" t="inlineStr">
        <is>
          <t>Physical</t>
        </is>
      </c>
      <c r="D50" s="5" t="inlineStr">
        <is>
          <t>Yes</t>
        </is>
      </c>
      <c r="E50" s="5" t="inlineStr">
        <is>
          <t>B</t>
        </is>
      </c>
      <c r="F50" s="5" t="inlineStr">
        <is>
          <t>—</t>
        </is>
      </c>
      <c r="G50" s="5" t="inlineStr">
        <is>
          <t>Implemented</t>
        </is>
      </c>
      <c r="H50" s="5" t="inlineStr">
        <is>
          <t>Small Dubai office in a managed building with access-controlled floors.</t>
        </is>
      </c>
      <c r="I50" s="5" t="inlineStr">
        <is>
          <t>HOP</t>
        </is>
      </c>
    </row>
    <row r="51">
      <c r="A51" s="5" t="inlineStr">
        <is>
          <t>7.2</t>
        </is>
      </c>
      <c r="B51" s="5" t="inlineStr">
        <is>
          <t>Physical entry</t>
        </is>
      </c>
      <c r="C51" s="5" t="inlineStr">
        <is>
          <t>Physical</t>
        </is>
      </c>
      <c r="D51" s="5" t="inlineStr">
        <is>
          <t>Yes</t>
        </is>
      </c>
      <c r="E51" s="5" t="inlineStr">
        <is>
          <t>B</t>
        </is>
      </c>
      <c r="F51" s="5" t="inlineStr">
        <is>
          <t>—</t>
        </is>
      </c>
      <c r="G51" s="5" t="inlineStr">
        <is>
          <t>Implemented</t>
        </is>
      </c>
      <c r="H51" s="5" t="inlineStr">
        <is>
          <t>Badge access; visitors signed in and escorted.</t>
        </is>
      </c>
      <c r="I51" s="5" t="inlineStr">
        <is>
          <t>HOP</t>
        </is>
      </c>
    </row>
    <row r="52">
      <c r="A52" s="5" t="inlineStr">
        <is>
          <t>7.3</t>
        </is>
      </c>
      <c r="B52" s="5" t="inlineStr">
        <is>
          <t>Securing offices, rooms and facilities</t>
        </is>
      </c>
      <c r="C52" s="5" t="inlineStr">
        <is>
          <t>Physical</t>
        </is>
      </c>
      <c r="D52" s="5" t="inlineStr">
        <is>
          <t>Yes</t>
        </is>
      </c>
      <c r="E52" s="5" t="inlineStr">
        <is>
          <t>B</t>
        </is>
      </c>
      <c r="F52" s="5" t="inlineStr">
        <is>
          <t>—</t>
        </is>
      </c>
      <c r="G52" s="5" t="inlineStr">
        <is>
          <t>Implemented</t>
        </is>
      </c>
      <c r="H52" s="5" t="inlineStr">
        <is>
          <t>Lockable office; no servers on premises.</t>
        </is>
      </c>
      <c r="I52" s="5" t="inlineStr">
        <is>
          <t>HOP</t>
        </is>
      </c>
    </row>
    <row r="53">
      <c r="A53" s="5" t="inlineStr">
        <is>
          <t>7.4</t>
        </is>
      </c>
      <c r="B53" s="5" t="inlineStr">
        <is>
          <t>Physical security monitoring</t>
        </is>
      </c>
      <c r="C53" s="5" t="inlineStr">
        <is>
          <t>Physical</t>
        </is>
      </c>
      <c r="D53" s="5" t="inlineStr">
        <is>
          <t>Yes</t>
        </is>
      </c>
      <c r="E53" s="5" t="inlineStr">
        <is>
          <t>B</t>
        </is>
      </c>
      <c r="F53" s="5" t="inlineStr">
        <is>
          <t>—</t>
        </is>
      </c>
      <c r="G53" s="5" t="inlineStr">
        <is>
          <t>Implemented</t>
        </is>
      </c>
      <c r="H53" s="5" t="inlineStr">
        <is>
          <t>Building CCTV and guards provided by the landlord (covered in lease).</t>
        </is>
      </c>
      <c r="I53" s="5" t="inlineStr">
        <is>
          <t>HOP</t>
        </is>
      </c>
    </row>
    <row r="54">
      <c r="A54" s="5" t="inlineStr">
        <is>
          <t>7.5</t>
        </is>
      </c>
      <c r="B54" s="5" t="inlineStr">
        <is>
          <t>Protecting against physical and environmental threats</t>
        </is>
      </c>
      <c r="C54" s="5" t="inlineStr">
        <is>
          <t>Physical</t>
        </is>
      </c>
      <c r="D54" s="5" t="inlineStr">
        <is>
          <t>Yes</t>
        </is>
      </c>
      <c r="E54" s="5" t="inlineStr">
        <is>
          <t>B</t>
        </is>
      </c>
      <c r="F54" s="5" t="inlineStr">
        <is>
          <t>—</t>
        </is>
      </c>
      <c r="G54" s="5" t="inlineStr">
        <is>
          <t>Implemented</t>
        </is>
      </c>
      <c r="H54" s="5" t="inlineStr">
        <is>
          <t>Relies on the building and on cloud providers' certified data centres (evidence: provider reports).</t>
        </is>
      </c>
      <c r="I54" s="5" t="inlineStr">
        <is>
          <t>SRE</t>
        </is>
      </c>
    </row>
    <row r="55">
      <c r="A55" s="5" t="inlineStr">
        <is>
          <t>7.6</t>
        </is>
      </c>
      <c r="B55" s="5" t="inlineStr">
        <is>
          <t>Working in secure areas</t>
        </is>
      </c>
      <c r="C55" s="5" t="inlineStr">
        <is>
          <t>Physical</t>
        </is>
      </c>
      <c r="D55" s="5" t="inlineStr">
        <is>
          <t>Yes</t>
        </is>
      </c>
      <c r="E55" s="5" t="inlineStr">
        <is>
          <t>B</t>
        </is>
      </c>
      <c r="F55" s="5" t="inlineStr">
        <is>
          <t>—</t>
        </is>
      </c>
      <c r="G55" s="5" t="inlineStr">
        <is>
          <t>Implemented</t>
        </is>
      </c>
      <c r="H55" s="5" t="inlineStr">
        <is>
          <t>No secure areas beyond the office; rule: no customer material on whiteboards visible from corridors.</t>
        </is>
      </c>
      <c r="I55" s="5" t="inlineStr">
        <is>
          <t>HOP</t>
        </is>
      </c>
    </row>
    <row r="56">
      <c r="A56" s="5" t="inlineStr">
        <is>
          <t>7.7</t>
        </is>
      </c>
      <c r="B56" s="5" t="inlineStr">
        <is>
          <t>Clear desk and clear screen</t>
        </is>
      </c>
      <c r="C56" s="5" t="inlineStr">
        <is>
          <t>Physical</t>
        </is>
      </c>
      <c r="D56" s="5" t="inlineStr">
        <is>
          <t>Yes</t>
        </is>
      </c>
      <c r="E56" s="5" t="inlineStr">
        <is>
          <t>R</t>
        </is>
      </c>
      <c r="F56" s="5" t="inlineStr">
        <is>
          <t>—</t>
        </is>
      </c>
      <c r="G56" s="5" t="inlineStr">
        <is>
          <t>Implemented</t>
        </is>
      </c>
      <c r="H56" s="5" t="inlineStr">
        <is>
          <t>Automatic screen lock after 5 minutes; clear-desk rule in IMS-POL-005.</t>
        </is>
      </c>
      <c r="I56" s="5" t="inlineStr">
        <is>
          <t>CISO</t>
        </is>
      </c>
    </row>
    <row r="57">
      <c r="A57" s="5" t="inlineStr">
        <is>
          <t>7.8</t>
        </is>
      </c>
      <c r="B57" s="5" t="inlineStr">
        <is>
          <t>Equipment siting and protection</t>
        </is>
      </c>
      <c r="C57" s="5" t="inlineStr">
        <is>
          <t>Physical</t>
        </is>
      </c>
      <c r="D57" s="5" t="inlineStr">
        <is>
          <t>Yes</t>
        </is>
      </c>
      <c r="E57" s="5" t="inlineStr">
        <is>
          <t>B</t>
        </is>
      </c>
      <c r="F57" s="5" t="inlineStr">
        <is>
          <t>—</t>
        </is>
      </c>
      <c r="G57" s="5" t="inlineStr">
        <is>
          <t>Implemented</t>
        </is>
      </c>
      <c r="H57" s="5" t="inlineStr">
        <is>
          <t>Laptops only; privacy screens issued to staff who travel.</t>
        </is>
      </c>
      <c r="I57" s="5" t="inlineStr">
        <is>
          <t>HOP</t>
        </is>
      </c>
    </row>
    <row r="58">
      <c r="A58" s="5" t="inlineStr">
        <is>
          <t>7.9</t>
        </is>
      </c>
      <c r="B58" s="5" t="inlineStr">
        <is>
          <t>Security of assets off-premises</t>
        </is>
      </c>
      <c r="C58" s="5" t="inlineStr">
        <is>
          <t>Physical</t>
        </is>
      </c>
      <c r="D58" s="5" t="inlineStr">
        <is>
          <t>Yes</t>
        </is>
      </c>
      <c r="E58" s="5" t="inlineStr">
        <is>
          <t>R</t>
        </is>
      </c>
      <c r="F58" s="5" t="inlineStr">
        <is>
          <t>—</t>
        </is>
      </c>
      <c r="G58" s="5" t="inlineStr">
        <is>
          <t>Implemented</t>
        </is>
      </c>
      <c r="H58" s="5" t="inlineStr">
        <is>
          <t>Full-disk encryption, remote wipe, travel guidance.</t>
        </is>
      </c>
      <c r="I58" s="5" t="inlineStr">
        <is>
          <t>CISO</t>
        </is>
      </c>
    </row>
    <row r="59">
      <c r="A59" s="5" t="inlineStr">
        <is>
          <t>7.10</t>
        </is>
      </c>
      <c r="B59" s="5" t="inlineStr">
        <is>
          <t>Storage media</t>
        </is>
      </c>
      <c r="C59" s="5" t="inlineStr">
        <is>
          <t>Physical</t>
        </is>
      </c>
      <c r="D59" s="5" t="inlineStr">
        <is>
          <t>Yes</t>
        </is>
      </c>
      <c r="E59" s="5" t="inlineStr">
        <is>
          <t>R</t>
        </is>
      </c>
      <c r="F59" s="5" t="inlineStr">
        <is>
          <t>—</t>
        </is>
      </c>
      <c r="G59" s="5" t="inlineStr">
        <is>
          <t>Implemented</t>
        </is>
      </c>
      <c r="H59" s="5" t="inlineStr">
        <is>
          <t>USB storage blocked by MDM; exceptions approved and logged.</t>
        </is>
      </c>
      <c r="I59" s="5" t="inlineStr">
        <is>
          <t>CISO</t>
        </is>
      </c>
    </row>
    <row r="60">
      <c r="A60" s="5" t="inlineStr">
        <is>
          <t>7.11</t>
        </is>
      </c>
      <c r="B60" s="5" t="inlineStr">
        <is>
          <t>Supporting utilities</t>
        </is>
      </c>
      <c r="C60" s="5" t="inlineStr">
        <is>
          <t>Physical</t>
        </is>
      </c>
      <c r="D60" s="5" t="inlineStr">
        <is>
          <t>Yes</t>
        </is>
      </c>
      <c r="E60" s="5" t="inlineStr">
        <is>
          <t>B</t>
        </is>
      </c>
      <c r="F60" s="5" t="inlineStr">
        <is>
          <t>—</t>
        </is>
      </c>
      <c r="G60" s="5" t="inlineStr">
        <is>
          <t>Implemented</t>
        </is>
      </c>
      <c r="H60" s="5" t="inlineStr">
        <is>
          <t>Office utilities managed by the landlord; production depends on cloud providers' certified facilities.</t>
        </is>
      </c>
      <c r="I60" s="5" t="inlineStr">
        <is>
          <t>SRE</t>
        </is>
      </c>
    </row>
    <row r="61">
      <c r="A61" s="5" t="inlineStr">
        <is>
          <t>7.12</t>
        </is>
      </c>
      <c r="B61" s="5" t="inlineStr">
        <is>
          <t>Cabling security</t>
        </is>
      </c>
      <c r="C61" s="5" t="inlineStr">
        <is>
          <t>Physical</t>
        </is>
      </c>
      <c r="D61" s="5" t="inlineStr">
        <is>
          <t>No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Excluded</t>
        </is>
      </c>
      <c r="H61" s="5" t="inlineStr">
        <is>
          <t>Not applicable: we own no network cabling or server rooms. The shared building network is untrusted and all traffic uses encrypted connections to cloud services.</t>
        </is>
      </c>
      <c r="I61" s="5" t="inlineStr">
        <is>
          <t>SRE</t>
        </is>
      </c>
    </row>
    <row r="62">
      <c r="A62" s="5" t="inlineStr">
        <is>
          <t>7.13</t>
        </is>
      </c>
      <c r="B62" s="5" t="inlineStr">
        <is>
          <t>Equipment maintenance</t>
        </is>
      </c>
      <c r="C62" s="5" t="inlineStr">
        <is>
          <t>Physical</t>
        </is>
      </c>
      <c r="D62" s="5" t="inlineStr">
        <is>
          <t>Yes</t>
        </is>
      </c>
      <c r="E62" s="5" t="inlineStr">
        <is>
          <t>B</t>
        </is>
      </c>
      <c r="F62" s="5" t="inlineStr">
        <is>
          <t>—</t>
        </is>
      </c>
      <c r="G62" s="5" t="inlineStr">
        <is>
          <t>Implemented</t>
        </is>
      </c>
      <c r="H62" s="5" t="inlineStr">
        <is>
          <t>Laptop lifecycle and warranty repairs through the reseller with disk removed or wiped.</t>
        </is>
      </c>
      <c r="I62" s="5" t="inlineStr">
        <is>
          <t>HOP</t>
        </is>
      </c>
    </row>
    <row r="63">
      <c r="A63" s="5" t="inlineStr">
        <is>
          <t>7.14</t>
        </is>
      </c>
      <c r="B63" s="5" t="inlineStr">
        <is>
          <t>Secure disposal or re-use of equipment</t>
        </is>
      </c>
      <c r="C63" s="5" t="inlineStr">
        <is>
          <t>Physical</t>
        </is>
      </c>
      <c r="D63" s="5" t="inlineStr">
        <is>
          <t>Yes</t>
        </is>
      </c>
      <c r="E63" s="5" t="inlineStr">
        <is>
          <t>R</t>
        </is>
      </c>
      <c r="F63" s="5" t="inlineStr">
        <is>
          <t>—</t>
        </is>
      </c>
      <c r="G63" s="5" t="inlineStr">
        <is>
          <t>Implemented</t>
        </is>
      </c>
      <c r="H63" s="5" t="inlineStr">
        <is>
          <t>Certified wipe before re-use or disposal; certificates kept.</t>
        </is>
      </c>
      <c r="I63" s="5" t="inlineStr">
        <is>
          <t>HOP</t>
        </is>
      </c>
    </row>
    <row r="64">
      <c r="A64" s="5" t="inlineStr">
        <is>
          <t>8.1</t>
        </is>
      </c>
      <c r="B64" s="5" t="inlineStr">
        <is>
          <t>User endpoint devices</t>
        </is>
      </c>
      <c r="C64" s="5" t="inlineStr">
        <is>
          <t>Technological</t>
        </is>
      </c>
      <c r="D64" s="5" t="inlineStr">
        <is>
          <t>Yes</t>
        </is>
      </c>
      <c r="E64" s="5" t="inlineStr">
        <is>
          <t>R</t>
        </is>
      </c>
      <c r="F64" s="5" t="inlineStr">
        <is>
          <t>RSK-IS-002</t>
        </is>
      </c>
      <c r="G64" s="5" t="inlineStr">
        <is>
          <t>Implemented</t>
        </is>
      </c>
      <c r="H64" s="5" t="inlineStr">
        <is>
          <t>MDM-enforced encryption, EDR, patching and screen lock.</t>
        </is>
      </c>
      <c r="I64" s="5" t="inlineStr">
        <is>
          <t>CISO</t>
        </is>
      </c>
    </row>
    <row r="65">
      <c r="A65" s="5" t="inlineStr">
        <is>
          <t>8.2</t>
        </is>
      </c>
      <c r="B65" s="5" t="inlineStr">
        <is>
          <t>Privileged access rights</t>
        </is>
      </c>
      <c r="C65" s="5" t="inlineStr">
        <is>
          <t>Technological</t>
        </is>
      </c>
      <c r="D65" s="5" t="inlineStr">
        <is>
          <t>Yes</t>
        </is>
      </c>
      <c r="E65" s="5" t="inlineStr">
        <is>
          <t>R</t>
        </is>
      </c>
      <c r="F65" s="5" t="inlineStr">
        <is>
          <t>RSK-IS-002</t>
        </is>
      </c>
      <c r="G65" s="5" t="inlineStr">
        <is>
          <t>Implemented</t>
        </is>
      </c>
      <c r="H65" s="5" t="inlineStr">
        <is>
          <t>Just-in-time admin access with approval and session logging.</t>
        </is>
      </c>
      <c r="I65" s="5" t="inlineStr">
        <is>
          <t>CISO</t>
        </is>
      </c>
    </row>
    <row r="66">
      <c r="A66" s="5" t="inlineStr">
        <is>
          <t>8.3</t>
        </is>
      </c>
      <c r="B66" s="5" t="inlineStr">
        <is>
          <t>Information access restriction</t>
        </is>
      </c>
      <c r="C66" s="5" t="inlineStr">
        <is>
          <t>Technological</t>
        </is>
      </c>
      <c r="D66" s="5" t="inlineStr">
        <is>
          <t>Yes</t>
        </is>
      </c>
      <c r="E66" s="5" t="inlineStr">
        <is>
          <t>R</t>
        </is>
      </c>
      <c r="F66" s="5" t="inlineStr">
        <is>
          <t>RSK-IS-001, RSK-AI-004</t>
        </is>
      </c>
      <c r="G66" s="5" t="inlineStr">
        <is>
          <t>Implemented</t>
        </is>
      </c>
      <c r="H66" s="5" t="inlineStr">
        <is>
          <t>Tenant isolation for customer projects; role-based access to datasets and model weights.</t>
        </is>
      </c>
      <c r="I66" s="5" t="inlineStr">
        <is>
          <t>CTO</t>
        </is>
      </c>
    </row>
    <row r="67">
      <c r="A67" s="5" t="inlineStr">
        <is>
          <t>8.4</t>
        </is>
      </c>
      <c r="B67" s="5" t="inlineStr">
        <is>
          <t>Access to source code</t>
        </is>
      </c>
      <c r="C67" s="5" t="inlineStr">
        <is>
          <t>Technological</t>
        </is>
      </c>
      <c r="D67" s="5" t="inlineStr">
        <is>
          <t>Yes</t>
        </is>
      </c>
      <c r="E67" s="5" t="inlineStr">
        <is>
          <t>R</t>
        </is>
      </c>
      <c r="F67" s="5" t="inlineStr">
        <is>
          <t>RSK-IS-003</t>
        </is>
      </c>
      <c r="G67" s="5" t="inlineStr">
        <is>
          <t>Implemented</t>
        </is>
      </c>
      <c r="H67" s="5" t="inlineStr">
        <is>
          <t>Branch protection; read access by team; no public repositories without approval.</t>
        </is>
      </c>
      <c r="I67" s="5" t="inlineStr">
        <is>
          <t>CTO</t>
        </is>
      </c>
    </row>
    <row r="68">
      <c r="A68" s="5" t="inlineStr">
        <is>
          <t>8.5</t>
        </is>
      </c>
      <c r="B68" s="5" t="inlineStr">
        <is>
          <t>Secure authentication</t>
        </is>
      </c>
      <c r="C68" s="5" t="inlineStr">
        <is>
          <t>Technological</t>
        </is>
      </c>
      <c r="D68" s="5" t="inlineStr">
        <is>
          <t>Yes</t>
        </is>
      </c>
      <c r="E68" s="5" t="inlineStr">
        <is>
          <t>R</t>
        </is>
      </c>
      <c r="F68" s="5" t="inlineStr">
        <is>
          <t>RSK-IS-002</t>
        </is>
      </c>
      <c r="G68" s="5" t="inlineStr">
        <is>
          <t>Implemented</t>
        </is>
      </c>
      <c r="H68" s="5" t="inlineStr">
        <is>
          <t>SSO with phishing-resistant MFA for staff; MFA option for customers; rate limiting.</t>
        </is>
      </c>
      <c r="I68" s="5" t="inlineStr">
        <is>
          <t>CISO</t>
        </is>
      </c>
    </row>
    <row r="69">
      <c r="A69" s="5" t="inlineStr">
        <is>
          <t>8.6</t>
        </is>
      </c>
      <c r="B69" s="5" t="inlineStr">
        <is>
          <t>Capacity management</t>
        </is>
      </c>
      <c r="C69" s="5" t="inlineStr">
        <is>
          <t>Technological</t>
        </is>
      </c>
      <c r="D69" s="5" t="inlineStr">
        <is>
          <t>Yes</t>
        </is>
      </c>
      <c r="E69" s="5" t="inlineStr">
        <is>
          <t>R</t>
        </is>
      </c>
      <c r="F69" s="5" t="inlineStr">
        <is>
          <t>RSK-IS-004</t>
        </is>
      </c>
      <c r="G69" s="5" t="inlineStr">
        <is>
          <t>Implemented</t>
        </is>
      </c>
      <c r="H69" s="5" t="inlineStr">
        <is>
          <t>Autoscaling and GPU/API quota monitoring with alerts.</t>
        </is>
      </c>
      <c r="I69" s="5" t="inlineStr">
        <is>
          <t>SRE</t>
        </is>
      </c>
    </row>
    <row r="70">
      <c r="A70" s="5" t="inlineStr">
        <is>
          <t>8.7</t>
        </is>
      </c>
      <c r="B70" s="5" t="inlineStr">
        <is>
          <t>Protection against malware</t>
        </is>
      </c>
      <c r="C70" s="5" t="inlineStr">
        <is>
          <t>Technological</t>
        </is>
      </c>
      <c r="D70" s="5" t="inlineStr">
        <is>
          <t>Yes</t>
        </is>
      </c>
      <c r="E70" s="5" t="inlineStr">
        <is>
          <t>R</t>
        </is>
      </c>
      <c r="F70" s="5" t="inlineStr">
        <is>
          <t>—</t>
        </is>
      </c>
      <c r="G70" s="5" t="inlineStr">
        <is>
          <t>Implemented</t>
        </is>
      </c>
      <c r="H70" s="5" t="inlineStr">
        <is>
          <t>EDR on laptops; malware scanning of uploaded files.</t>
        </is>
      </c>
      <c r="I70" s="5" t="inlineStr">
        <is>
          <t>CISO</t>
        </is>
      </c>
    </row>
    <row r="71">
      <c r="A71" s="5" t="inlineStr">
        <is>
          <t>8.8</t>
        </is>
      </c>
      <c r="B71" s="5" t="inlineStr">
        <is>
          <t>Management of technical vulnerabilities</t>
        </is>
      </c>
      <c r="C71" s="5" t="inlineStr">
        <is>
          <t>Technological</t>
        </is>
      </c>
      <c r="D71" s="5" t="inlineStr">
        <is>
          <t>Yes</t>
        </is>
      </c>
      <c r="E71" s="5" t="inlineStr">
        <is>
          <t>R</t>
        </is>
      </c>
      <c r="F71" s="5" t="inlineStr">
        <is>
          <t>RSK-IS-005</t>
        </is>
      </c>
      <c r="G71" s="5" t="inlineStr">
        <is>
          <t>Implemented</t>
        </is>
      </c>
      <c r="H71" s="5" t="inlineStr">
        <is>
          <t>Scanning plus fix targets (critical 7 days, high 30 days) — objective OBJ-04.</t>
        </is>
      </c>
      <c r="I71" s="5" t="inlineStr">
        <is>
          <t>CTO</t>
        </is>
      </c>
    </row>
    <row r="72">
      <c r="A72" s="5" t="inlineStr">
        <is>
          <t>8.9</t>
        </is>
      </c>
      <c r="B72" s="5" t="inlineStr">
        <is>
          <t>Configuration management</t>
        </is>
      </c>
      <c r="C72" s="5" t="inlineStr">
        <is>
          <t>Technological</t>
        </is>
      </c>
      <c r="D72" s="5" t="inlineStr">
        <is>
          <t>Yes</t>
        </is>
      </c>
      <c r="E72" s="5" t="inlineStr">
        <is>
          <t>R</t>
        </is>
      </c>
      <c r="F72" s="5" t="inlineStr">
        <is>
          <t>RSK-IS-001</t>
        </is>
      </c>
      <c r="G72" s="5" t="inlineStr">
        <is>
          <t>Implemented</t>
        </is>
      </c>
      <c r="H72" s="5" t="inlineStr">
        <is>
          <t>Infrastructure as code; cloud posture tool alerts on drift.</t>
        </is>
      </c>
      <c r="I72" s="5" t="inlineStr">
        <is>
          <t>SRE</t>
        </is>
      </c>
    </row>
    <row r="73">
      <c r="A73" s="5" t="inlineStr">
        <is>
          <t>8.10</t>
        </is>
      </c>
      <c r="B73" s="5" t="inlineStr">
        <is>
          <t>Information deletion</t>
        </is>
      </c>
      <c r="C73" s="5" t="inlineStr">
        <is>
          <t>Technological</t>
        </is>
      </c>
      <c r="D73" s="5" t="inlineStr">
        <is>
          <t>Yes</t>
        </is>
      </c>
      <c r="E73" s="5" t="inlineStr">
        <is>
          <t>L</t>
        </is>
      </c>
      <c r="F73" s="5" t="inlineStr">
        <is>
          <t>—</t>
        </is>
      </c>
      <c r="G73" s="5" t="inlineStr">
        <is>
          <t>Implemented</t>
        </is>
      </c>
      <c r="H73" s="5" t="inlineStr">
        <is>
          <t>Retention schedule and automated deletion jobs; deletion on customer request.</t>
        </is>
      </c>
      <c r="I73" s="5" t="inlineStr">
        <is>
          <t>HOD</t>
        </is>
      </c>
    </row>
    <row r="74">
      <c r="A74" s="5" t="inlineStr">
        <is>
          <t>8.11</t>
        </is>
      </c>
      <c r="B74" s="5" t="inlineStr">
        <is>
          <t>Data masking</t>
        </is>
      </c>
      <c r="C74" s="5" t="inlineStr">
        <is>
          <t>Technological</t>
        </is>
      </c>
      <c r="D74" s="5" t="inlineStr">
        <is>
          <t>Yes</t>
        </is>
      </c>
      <c r="E74" s="5" t="inlineStr">
        <is>
          <t>R,L</t>
        </is>
      </c>
      <c r="F74" s="5" t="inlineStr">
        <is>
          <t>RSK-AI-004</t>
        </is>
      </c>
      <c r="G74" s="5" t="inlineStr">
        <is>
          <t>Implemented</t>
        </is>
      </c>
      <c r="H74" s="5" t="inlineStr">
        <is>
          <t>Personal data masked in non-production and in AI evaluation sets.</t>
        </is>
      </c>
      <c r="I74" s="5" t="inlineStr">
        <is>
          <t>HOD</t>
        </is>
      </c>
    </row>
    <row r="75">
      <c r="A75" s="5" t="inlineStr">
        <is>
          <t>8.12</t>
        </is>
      </c>
      <c r="B75" s="5" t="inlineStr">
        <is>
          <t>Data leakage prevention</t>
        </is>
      </c>
      <c r="C75" s="5" t="inlineStr">
        <is>
          <t>Technological</t>
        </is>
      </c>
      <c r="D75" s="5" t="inlineStr">
        <is>
          <t>Yes</t>
        </is>
      </c>
      <c r="E75" s="5" t="inlineStr">
        <is>
          <t>R</t>
        </is>
      </c>
      <c r="F75" s="5" t="inlineStr">
        <is>
          <t>RSK-IS-003, RSK-IS-001</t>
        </is>
      </c>
      <c r="G75" s="5" t="inlineStr">
        <is>
          <t>Partially implemented</t>
        </is>
      </c>
      <c r="H75" s="5" t="inlineStr">
        <is>
          <t>Secret scanning, egress controls, browser DLP for unapproved AI tools being rolled out.</t>
        </is>
      </c>
      <c r="I75" s="5" t="inlineStr">
        <is>
          <t>CISO</t>
        </is>
      </c>
    </row>
    <row r="76">
      <c r="A76" s="5" t="inlineStr">
        <is>
          <t>8.13</t>
        </is>
      </c>
      <c r="B76" s="5" t="inlineStr">
        <is>
          <t>Information backup</t>
        </is>
      </c>
      <c r="C76" s="5" t="inlineStr">
        <is>
          <t>Technological</t>
        </is>
      </c>
      <c r="D76" s="5" t="inlineStr">
        <is>
          <t>Yes</t>
        </is>
      </c>
      <c r="E76" s="5" t="inlineStr">
        <is>
          <t>R</t>
        </is>
      </c>
      <c r="F76" s="5" t="inlineStr">
        <is>
          <t>RSK-IS-004</t>
        </is>
      </c>
      <c r="G76" s="5" t="inlineStr">
        <is>
          <t>Implemented</t>
        </is>
      </c>
      <c r="H76" s="5" t="inlineStr">
        <is>
          <t>Daily encrypted cross-region backups; restore test each quarter.</t>
        </is>
      </c>
      <c r="I76" s="5" t="inlineStr">
        <is>
          <t>SRE</t>
        </is>
      </c>
    </row>
    <row r="77">
      <c r="A77" s="5" t="inlineStr">
        <is>
          <t>8.14</t>
        </is>
      </c>
      <c r="B77" s="5" t="inlineStr">
        <is>
          <t>Redundancy of information processing facilities</t>
        </is>
      </c>
      <c r="C77" s="5" t="inlineStr">
        <is>
          <t>Technological</t>
        </is>
      </c>
      <c r="D77" s="5" t="inlineStr">
        <is>
          <t>Yes</t>
        </is>
      </c>
      <c r="E77" s="5" t="inlineStr">
        <is>
          <t>R,C</t>
        </is>
      </c>
      <c r="F77" s="5" t="inlineStr">
        <is>
          <t>RSK-IS-004</t>
        </is>
      </c>
      <c r="G77" s="5" t="inlineStr">
        <is>
          <t>Partially implemented</t>
        </is>
      </c>
      <c r="H77" s="5" t="inlineStr">
        <is>
          <t>Multi-AZ today; warm standby region planned (IMS-PRO-006).</t>
        </is>
      </c>
      <c r="I77" s="5" t="inlineStr">
        <is>
          <t>SRE</t>
        </is>
      </c>
    </row>
    <row r="78">
      <c r="A78" s="5" t="inlineStr">
        <is>
          <t>8.15</t>
        </is>
      </c>
      <c r="B78" s="5" t="inlineStr">
        <is>
          <t>Logging</t>
        </is>
      </c>
      <c r="C78" s="5" t="inlineStr">
        <is>
          <t>Technological</t>
        </is>
      </c>
      <c r="D78" s="5" t="inlineStr">
        <is>
          <t>Yes</t>
        </is>
      </c>
      <c r="E78" s="5" t="inlineStr">
        <is>
          <t>R</t>
        </is>
      </c>
      <c r="F78" s="5" t="inlineStr">
        <is>
          <t>RSK-IS-001</t>
        </is>
      </c>
      <c r="G78" s="5" t="inlineStr">
        <is>
          <t>Implemented</t>
        </is>
      </c>
      <c r="H78" s="5" t="inlineStr">
        <is>
          <t>Central logs, 12-month retention; AI prompt/output logs as defined in IMS-PRO-004.</t>
        </is>
      </c>
      <c r="I78" s="5" t="inlineStr">
        <is>
          <t>SRE</t>
        </is>
      </c>
    </row>
    <row r="79">
      <c r="A79" s="5" t="inlineStr">
        <is>
          <t>8.16</t>
        </is>
      </c>
      <c r="B79" s="5" t="inlineStr">
        <is>
          <t>Monitoring activities</t>
        </is>
      </c>
      <c r="C79" s="5" t="inlineStr">
        <is>
          <t>Technological</t>
        </is>
      </c>
      <c r="D79" s="5" t="inlineStr">
        <is>
          <t>Yes</t>
        </is>
      </c>
      <c r="E79" s="5" t="inlineStr">
        <is>
          <t>R</t>
        </is>
      </c>
      <c r="F79" s="5" t="inlineStr">
        <is>
          <t>RSK-AI-002, RSK-IS-002</t>
        </is>
      </c>
      <c r="G79" s="5" t="inlineStr">
        <is>
          <t>Implemented</t>
        </is>
      </c>
      <c r="H79" s="5" t="inlineStr">
        <is>
          <t>Alerting on security events and on AI abuse patterns; content-safety canaries.</t>
        </is>
      </c>
      <c r="I79" s="5" t="inlineStr">
        <is>
          <t>CISO</t>
        </is>
      </c>
    </row>
    <row r="80">
      <c r="A80" s="5" t="inlineStr">
        <is>
          <t>8.17</t>
        </is>
      </c>
      <c r="B80" s="5" t="inlineStr">
        <is>
          <t>Clock synchronisation</t>
        </is>
      </c>
      <c r="C80" s="5" t="inlineStr">
        <is>
          <t>Technological</t>
        </is>
      </c>
      <c r="D80" s="5" t="inlineStr">
        <is>
          <t>Yes</t>
        </is>
      </c>
      <c r="E80" s="5" t="inlineStr">
        <is>
          <t>B</t>
        </is>
      </c>
      <c r="F80" s="5" t="inlineStr">
        <is>
          <t>—</t>
        </is>
      </c>
      <c r="G80" s="5" t="inlineStr">
        <is>
          <t>Implemented</t>
        </is>
      </c>
      <c r="H80" s="5" t="inlineStr">
        <is>
          <t>Cloud time services; UTC in all logs.</t>
        </is>
      </c>
      <c r="I80" s="5" t="inlineStr">
        <is>
          <t>SRE</t>
        </is>
      </c>
    </row>
    <row r="81">
      <c r="A81" s="5" t="inlineStr">
        <is>
          <t>8.18</t>
        </is>
      </c>
      <c r="B81" s="5" t="inlineStr">
        <is>
          <t>Use of privileged utility programs</t>
        </is>
      </c>
      <c r="C81" s="5" t="inlineStr">
        <is>
          <t>Technological</t>
        </is>
      </c>
      <c r="D81" s="5" t="inlineStr">
        <is>
          <t>Yes</t>
        </is>
      </c>
      <c r="E81" s="5" t="inlineStr">
        <is>
          <t>R</t>
        </is>
      </c>
      <c r="F81" s="5" t="inlineStr">
        <is>
          <t>—</t>
        </is>
      </c>
      <c r="G81" s="5" t="inlineStr">
        <is>
          <t>Implemented</t>
        </is>
      </c>
      <c r="H81" s="5" t="inlineStr">
        <is>
          <t>Admin tools only via the just-in-time access path.</t>
        </is>
      </c>
      <c r="I81" s="5" t="inlineStr">
        <is>
          <t>SRE</t>
        </is>
      </c>
    </row>
    <row r="82">
      <c r="A82" s="5" t="inlineStr">
        <is>
          <t>8.19</t>
        </is>
      </c>
      <c r="B82" s="5" t="inlineStr">
        <is>
          <t>Installation of software on operational systems</t>
        </is>
      </c>
      <c r="C82" s="5" t="inlineStr">
        <is>
          <t>Technological</t>
        </is>
      </c>
      <c r="D82" s="5" t="inlineStr">
        <is>
          <t>Yes</t>
        </is>
      </c>
      <c r="E82" s="5" t="inlineStr">
        <is>
          <t>R</t>
        </is>
      </c>
      <c r="F82" s="5" t="inlineStr">
        <is>
          <t>—</t>
        </is>
      </c>
      <c r="G82" s="5" t="inlineStr">
        <is>
          <t>Implemented</t>
        </is>
      </c>
      <c r="H82" s="5" t="inlineStr">
        <is>
          <t>Immutable images deployed only through CI/CD.</t>
        </is>
      </c>
      <c r="I82" s="5" t="inlineStr">
        <is>
          <t>SRE</t>
        </is>
      </c>
    </row>
    <row r="83">
      <c r="A83" s="5" t="inlineStr">
        <is>
          <t>8.20</t>
        </is>
      </c>
      <c r="B83" s="5" t="inlineStr">
        <is>
          <t>Networks security</t>
        </is>
      </c>
      <c r="C83" s="5" t="inlineStr">
        <is>
          <t>Technological</t>
        </is>
      </c>
      <c r="D83" s="5" t="inlineStr">
        <is>
          <t>Yes</t>
        </is>
      </c>
      <c r="E83" s="5" t="inlineStr">
        <is>
          <t>R</t>
        </is>
      </c>
      <c r="F83" s="5" t="inlineStr">
        <is>
          <t>—</t>
        </is>
      </c>
      <c r="G83" s="5" t="inlineStr">
        <is>
          <t>Implemented</t>
        </is>
      </c>
      <c r="H83" s="5" t="inlineStr">
        <is>
          <t>Private networking, security groups, WAF in front of public services.</t>
        </is>
      </c>
      <c r="I83" s="5" t="inlineStr">
        <is>
          <t>SRE</t>
        </is>
      </c>
    </row>
    <row r="84">
      <c r="A84" s="5" t="inlineStr">
        <is>
          <t>8.21</t>
        </is>
      </c>
      <c r="B84" s="5" t="inlineStr">
        <is>
          <t>Security of network services</t>
        </is>
      </c>
      <c r="C84" s="5" t="inlineStr">
        <is>
          <t>Technological</t>
        </is>
      </c>
      <c r="D84" s="5" t="inlineStr">
        <is>
          <t>Yes</t>
        </is>
      </c>
      <c r="E84" s="5" t="inlineStr">
        <is>
          <t>R</t>
        </is>
      </c>
      <c r="F84" s="5" t="inlineStr">
        <is>
          <t>—</t>
        </is>
      </c>
      <c r="G84" s="5" t="inlineStr">
        <is>
          <t>Implemented</t>
        </is>
      </c>
      <c r="H84" s="5" t="inlineStr">
        <is>
          <t>TLS 1.2+ everywhere; managed DNS and CDN with security features enabled.</t>
        </is>
      </c>
      <c r="I84" s="5" t="inlineStr">
        <is>
          <t>SRE</t>
        </is>
      </c>
    </row>
    <row r="85">
      <c r="A85" s="5" t="inlineStr">
        <is>
          <t>8.22</t>
        </is>
      </c>
      <c r="B85" s="5" t="inlineStr">
        <is>
          <t>Segregation of networks</t>
        </is>
      </c>
      <c r="C85" s="5" t="inlineStr">
        <is>
          <t>Technological</t>
        </is>
      </c>
      <c r="D85" s="5" t="inlineStr">
        <is>
          <t>Yes</t>
        </is>
      </c>
      <c r="E85" s="5" t="inlineStr">
        <is>
          <t>R</t>
        </is>
      </c>
      <c r="F85" s="5" t="inlineStr">
        <is>
          <t>RSK-IS-001</t>
        </is>
      </c>
      <c r="G85" s="5" t="inlineStr">
        <is>
          <t>Implemented</t>
        </is>
      </c>
      <c r="H85" s="5" t="inlineStr">
        <is>
          <t>Separate accounts and VPCs for production, staging and ML training.</t>
        </is>
      </c>
      <c r="I85" s="5" t="inlineStr">
        <is>
          <t>SRE</t>
        </is>
      </c>
    </row>
    <row r="86">
      <c r="A86" s="5" t="inlineStr">
        <is>
          <t>8.23</t>
        </is>
      </c>
      <c r="B86" s="5" t="inlineStr">
        <is>
          <t>Web filtering</t>
        </is>
      </c>
      <c r="C86" s="5" t="inlineStr">
        <is>
          <t>Technological</t>
        </is>
      </c>
      <c r="D86" s="5" t="inlineStr">
        <is>
          <t>Yes</t>
        </is>
      </c>
      <c r="E86" s="5" t="inlineStr">
        <is>
          <t>R</t>
        </is>
      </c>
      <c r="F86" s="5" t="inlineStr">
        <is>
          <t>RSK-IS-003</t>
        </is>
      </c>
      <c r="G86" s="5" t="inlineStr">
        <is>
          <t>Partially implemented</t>
        </is>
      </c>
      <c r="H86" s="5" t="inlineStr">
        <is>
          <t>DNS filtering on laptops; unapproved AI tools blocked or warned (rollout in progress).</t>
        </is>
      </c>
      <c r="I86" s="5" t="inlineStr">
        <is>
          <t>CISO</t>
        </is>
      </c>
    </row>
    <row r="87">
      <c r="A87" s="5" t="inlineStr">
        <is>
          <t>8.24</t>
        </is>
      </c>
      <c r="B87" s="5" t="inlineStr">
        <is>
          <t>Use of cryptography</t>
        </is>
      </c>
      <c r="C87" s="5" t="inlineStr">
        <is>
          <t>Technological</t>
        </is>
      </c>
      <c r="D87" s="5" t="inlineStr">
        <is>
          <t>Yes</t>
        </is>
      </c>
      <c r="E87" s="5" t="inlineStr">
        <is>
          <t>R,L</t>
        </is>
      </c>
      <c r="F87" s="5" t="inlineStr">
        <is>
          <t>RSK-IS-001</t>
        </is>
      </c>
      <c r="G87" s="5" t="inlineStr">
        <is>
          <t>Implemented</t>
        </is>
      </c>
      <c r="H87" s="5" t="inlineStr">
        <is>
          <t>Encryption at rest and in transit; managed keys; crypto rules in IMS-POL-003.</t>
        </is>
      </c>
      <c r="I87" s="5" t="inlineStr">
        <is>
          <t>SRE</t>
        </is>
      </c>
    </row>
    <row r="88">
      <c r="A88" s="5" t="inlineStr">
        <is>
          <t>8.25</t>
        </is>
      </c>
      <c r="B88" s="5" t="inlineStr">
        <is>
          <t>Secure development life cycle</t>
        </is>
      </c>
      <c r="C88" s="5" t="inlineStr">
        <is>
          <t>Technological</t>
        </is>
      </c>
      <c r="D88" s="5" t="inlineStr">
        <is>
          <t>Yes</t>
        </is>
      </c>
      <c r="E88" s="5" t="inlineStr">
        <is>
          <t>R,C</t>
        </is>
      </c>
      <c r="F88" s="5" t="inlineStr">
        <is>
          <t>RSK-IS-005</t>
        </is>
      </c>
      <c r="G88" s="5" t="inlineStr">
        <is>
          <t>Implemented</t>
        </is>
      </c>
      <c r="H88" s="5" t="inlineStr">
        <is>
          <t>IMS-POL-002 integrated secure and responsible lifecycle.</t>
        </is>
      </c>
      <c r="I88" s="5" t="inlineStr">
        <is>
          <t>CTO</t>
        </is>
      </c>
    </row>
    <row r="89">
      <c r="A89" s="5" t="inlineStr">
        <is>
          <t>8.26</t>
        </is>
      </c>
      <c r="B89" s="5" t="inlineStr">
        <is>
          <t>Application security requirements</t>
        </is>
      </c>
      <c r="C89" s="5" t="inlineStr">
        <is>
          <t>Technological</t>
        </is>
      </c>
      <c r="D89" s="5" t="inlineStr">
        <is>
          <t>Yes</t>
        </is>
      </c>
      <c r="E89" s="5" t="inlineStr">
        <is>
          <t>R</t>
        </is>
      </c>
      <c r="F89" s="5" t="inlineStr">
        <is>
          <t>RSK-AI-004</t>
        </is>
      </c>
      <c r="G89" s="5" t="inlineStr">
        <is>
          <t>Implemented</t>
        </is>
      </c>
      <c r="H89" s="5" t="inlineStr">
        <is>
          <t>Security and AI requirements checklist per feature, incl. LLM risks.</t>
        </is>
      </c>
      <c r="I89" s="5" t="inlineStr">
        <is>
          <t>CTO</t>
        </is>
      </c>
    </row>
    <row r="90">
      <c r="A90" s="5" t="inlineStr">
        <is>
          <t>8.27</t>
        </is>
      </c>
      <c r="B90" s="5" t="inlineStr">
        <is>
          <t>Secure system architecture and engineering principles</t>
        </is>
      </c>
      <c r="C90" s="5" t="inlineStr">
        <is>
          <t>Technological</t>
        </is>
      </c>
      <c r="D90" s="5" t="inlineStr">
        <is>
          <t>Yes</t>
        </is>
      </c>
      <c r="E90" s="5" t="inlineStr">
        <is>
          <t>R</t>
        </is>
      </c>
      <c r="F90" s="5" t="inlineStr">
        <is>
          <t>RSK-AI-002</t>
        </is>
      </c>
      <c r="G90" s="5" t="inlineStr">
        <is>
          <t>Implemented</t>
        </is>
      </c>
      <c r="H90" s="5" t="inlineStr">
        <is>
          <t>Architecture principles and threat modelling (incl. AI threats) in IMS-POL-002.</t>
        </is>
      </c>
      <c r="I90" s="5" t="inlineStr">
        <is>
          <t>CTO</t>
        </is>
      </c>
    </row>
    <row r="91">
      <c r="A91" s="5" t="inlineStr">
        <is>
          <t>8.28</t>
        </is>
      </c>
      <c r="B91" s="5" t="inlineStr">
        <is>
          <t>Secure coding</t>
        </is>
      </c>
      <c r="C91" s="5" t="inlineStr">
        <is>
          <t>Technological</t>
        </is>
      </c>
      <c r="D91" s="5" t="inlineStr">
        <is>
          <t>Yes</t>
        </is>
      </c>
      <c r="E91" s="5" t="inlineStr">
        <is>
          <t>R</t>
        </is>
      </c>
      <c r="F91" s="5" t="inlineStr">
        <is>
          <t>RSK-IS-005</t>
        </is>
      </c>
      <c r="G91" s="5" t="inlineStr">
        <is>
          <t>Implemented</t>
        </is>
      </c>
      <c r="H91" s="5" t="inlineStr">
        <is>
          <t>Secure coding standard, linters, SAST; CodeAssist suggestions reviewed like any code.</t>
        </is>
      </c>
      <c r="I91" s="5" t="inlineStr">
        <is>
          <t>CTO</t>
        </is>
      </c>
    </row>
    <row r="92">
      <c r="A92" s="5" t="inlineStr">
        <is>
          <t>8.29</t>
        </is>
      </c>
      <c r="B92" s="5" t="inlineStr">
        <is>
          <t>Security testing in development and acceptance</t>
        </is>
      </c>
      <c r="C92" s="5" t="inlineStr">
        <is>
          <t>Technological</t>
        </is>
      </c>
      <c r="D92" s="5" t="inlineStr">
        <is>
          <t>Yes</t>
        </is>
      </c>
      <c r="E92" s="5" t="inlineStr">
        <is>
          <t>R</t>
        </is>
      </c>
      <c r="F92" s="5" t="inlineStr">
        <is>
          <t>RSK-IS-005, RSK-AI-002</t>
        </is>
      </c>
      <c r="G92" s="5" t="inlineStr">
        <is>
          <t>Implemented</t>
        </is>
      </c>
      <c r="H92" s="5" t="inlineStr">
        <is>
          <t>SAST/DAST/SCA in CI, AI red-teaming before release, yearly penetration test.</t>
        </is>
      </c>
      <c r="I92" s="5" t="inlineStr">
        <is>
          <t>CTO</t>
        </is>
      </c>
    </row>
    <row r="93">
      <c r="A93" s="5" t="inlineStr">
        <is>
          <t>8.30</t>
        </is>
      </c>
      <c r="B93" s="5" t="inlineStr">
        <is>
          <t>Outsourced development</t>
        </is>
      </c>
      <c r="C93" s="5" t="inlineStr">
        <is>
          <t>Technological</t>
        </is>
      </c>
      <c r="D93" s="5" t="inlineStr">
        <is>
          <t>Yes</t>
        </is>
      </c>
      <c r="E93" s="5" t="inlineStr">
        <is>
          <t>R</t>
        </is>
      </c>
      <c r="F93" s="5" t="inlineStr">
        <is>
          <t>—</t>
        </is>
      </c>
      <c r="G93" s="5" t="inlineStr">
        <is>
          <t>Implemented</t>
        </is>
      </c>
      <c r="H93" s="5" t="inlineStr">
        <is>
          <t>Freelance developers work inside our repositories and pipeline under the same rules.</t>
        </is>
      </c>
      <c r="I93" s="5" t="inlineStr">
        <is>
          <t>CTO</t>
        </is>
      </c>
    </row>
    <row r="94">
      <c r="A94" s="5" t="inlineStr">
        <is>
          <t>8.31</t>
        </is>
      </c>
      <c r="B94" s="5" t="inlineStr">
        <is>
          <t>Separation of development, test and production environments</t>
        </is>
      </c>
      <c r="C94" s="5" t="inlineStr">
        <is>
          <t>Technological</t>
        </is>
      </c>
      <c r="D94" s="5" t="inlineStr">
        <is>
          <t>Yes</t>
        </is>
      </c>
      <c r="E94" s="5" t="inlineStr">
        <is>
          <t>R</t>
        </is>
      </c>
      <c r="F94" s="5" t="inlineStr">
        <is>
          <t>RSK-IS-001</t>
        </is>
      </c>
      <c r="G94" s="5" t="inlineStr">
        <is>
          <t>Implemented</t>
        </is>
      </c>
      <c r="H94" s="5" t="inlineStr">
        <is>
          <t>Separate cloud accounts; no production customer data in test.</t>
        </is>
      </c>
      <c r="I94" s="5" t="inlineStr">
        <is>
          <t>SRE</t>
        </is>
      </c>
    </row>
    <row r="95">
      <c r="A95" s="5" t="inlineStr">
        <is>
          <t>8.32</t>
        </is>
      </c>
      <c r="B95" s="5" t="inlineStr">
        <is>
          <t>Change management</t>
        </is>
      </c>
      <c r="C95" s="5" t="inlineStr">
        <is>
          <t>Technological</t>
        </is>
      </c>
      <c r="D95" s="5" t="inlineStr">
        <is>
          <t>Yes</t>
        </is>
      </c>
      <c r="E95" s="5" t="inlineStr">
        <is>
          <t>R</t>
        </is>
      </c>
      <c r="F95" s="5" t="inlineStr">
        <is>
          <t>RSK-AI-005</t>
        </is>
      </c>
      <c r="G95" s="5" t="inlineStr">
        <is>
          <t>Implemented</t>
        </is>
      </c>
      <c r="H95" s="5" t="inlineStr">
        <is>
          <t>Pull requests, approvals and release notes; model and supplier changes included.</t>
        </is>
      </c>
      <c r="I95" s="5" t="inlineStr">
        <is>
          <t>CTO</t>
        </is>
      </c>
    </row>
    <row r="96">
      <c r="A96" s="5" t="inlineStr">
        <is>
          <t>8.33</t>
        </is>
      </c>
      <c r="B96" s="5" t="inlineStr">
        <is>
          <t>Test information</t>
        </is>
      </c>
      <c r="C96" s="5" t="inlineStr">
        <is>
          <t>Technological</t>
        </is>
      </c>
      <c r="D96" s="5" t="inlineStr">
        <is>
          <t>Yes</t>
        </is>
      </c>
      <c r="E96" s="5" t="inlineStr">
        <is>
          <t>R,L</t>
        </is>
      </c>
      <c r="F96" s="5" t="inlineStr">
        <is>
          <t>—</t>
        </is>
      </c>
      <c r="G96" s="5" t="inlineStr">
        <is>
          <t>Implemented</t>
        </is>
      </c>
      <c r="H96" s="5" t="inlineStr">
        <is>
          <t>Synthetic or masked data for tests; approval needed for any real data.</t>
        </is>
      </c>
      <c r="I96" s="5" t="inlineStr">
        <is>
          <t>HOD</t>
        </is>
      </c>
    </row>
    <row r="97">
      <c r="A97" s="5" t="inlineStr">
        <is>
          <t>8.34</t>
        </is>
      </c>
      <c r="B97" s="5" t="inlineStr">
        <is>
          <t>Protection of information systems during audit testing</t>
        </is>
      </c>
      <c r="C97" s="5" t="inlineStr">
        <is>
          <t>Technological</t>
        </is>
      </c>
      <c r="D97" s="5" t="inlineStr">
        <is>
          <t>Yes</t>
        </is>
      </c>
      <c r="E97" s="5" t="inlineStr">
        <is>
          <t>B</t>
        </is>
      </c>
      <c r="F97" s="5" t="inlineStr">
        <is>
          <t>—</t>
        </is>
      </c>
      <c r="G97" s="5" t="inlineStr">
        <is>
          <t>Implemented</t>
        </is>
      </c>
      <c r="H97" s="5" t="inlineStr">
        <is>
          <t>Audit and penetration-test access planned, time-boxed and read-only where possible.</t>
        </is>
      </c>
      <c r="I97" s="5" t="inlineStr">
        <is>
          <t>CISO</t>
        </is>
      </c>
    </row>
  </sheetData>
  <autoFilter ref="A4:I97"/>
  <mergeCells count="1">
    <mergeCell ref="A2:I2"/>
  </mergeCells>
  <conditionalFormatting sqref="G5:G97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conditionalFormatting sqref="D5:D97">
    <cfRule type="cellIs" priority="19" operator="equal" dxfId="0">
      <formula>"Implemented"</formula>
    </cfRule>
    <cfRule type="cellIs" priority="20" operator="equal" dxfId="0">
      <formula>"Done"</formula>
    </cfRule>
    <cfRule type="cellIs" priority="21" operator="equal" dxfId="0">
      <formula>"Closed"</formula>
    </cfRule>
    <cfRule type="cellIs" priority="22" operator="equal" dxfId="0">
      <formula>"Yes"</formula>
    </cfRule>
    <cfRule type="cellIs" priority="23" operator="equal" dxfId="0">
      <formula>"Met"</formula>
    </cfRule>
    <cfRule type="cellIs" priority="24" operator="equal" dxfId="1">
      <formula>"Partially implemented"</formula>
    </cfRule>
    <cfRule type="cellIs" priority="25" operator="equal" dxfId="1">
      <formula>"Partial"</formula>
    </cfRule>
    <cfRule type="cellIs" priority="26" operator="equal" dxfId="1">
      <formula>"Done late"</formula>
    </cfRule>
    <cfRule type="cellIs" priority="27" operator="equal" dxfId="1">
      <formula>"In progress"</formula>
    </cfRule>
    <cfRule type="cellIs" priority="28" operator="equal" dxfId="1">
      <formula>"Open"</formula>
    </cfRule>
    <cfRule type="cellIs" priority="29" operator="equal" dxfId="1">
      <formula>"On track"</formula>
    </cfRule>
    <cfRule type="cellIs" priority="30" operator="equal" dxfId="2">
      <formula>"Planned"</formula>
    </cfRule>
    <cfRule type="cellIs" priority="31" operator="equal" dxfId="3">
      <formula>"Not started"</formula>
    </cfRule>
    <cfRule type="cellIs" priority="32" operator="equal" dxfId="4">
      <formula>"Not implemented"</formula>
    </cfRule>
    <cfRule type="cellIs" priority="33" operator="equal" dxfId="4">
      <formula>"No"</formula>
    </cfRule>
    <cfRule type="cellIs" priority="34" operator="equal" dxfId="4">
      <formula>"Overdue"</formula>
    </cfRule>
    <cfRule type="cellIs" priority="35" operator="equal" dxfId="4">
      <formula>"Not met"</formula>
    </cfRule>
    <cfRule type="cellIs" priority="36" operator="equal" dxfId="5">
      <formula>"Excluded"</formula>
    </cfRule>
  </conditionalFormatting>
  <dataValidations count="2">
    <dataValidation sqref="D5:D97" showDropDown="0" showInputMessage="0" showErrorMessage="0" allowBlank="1" errorTitle="Invalid value" error="Pick a value from the list." type="list">
      <formula1>"Yes,No"</formula1>
    </dataValidation>
    <dataValidation sqref="G5:G97" showDropDown="0" showInputMessage="0" showErrorMessage="0" allowBlank="1" errorTitle="Invalid value" error="Pick a value from the list." type="list">
      <formula1>"Implemented,Partially implemented,Planned,Not implemented,Excluded"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8" t="inlineStr">
        <is>
          <t>Implementation summary</t>
        </is>
      </c>
    </row>
    <row r="2" ht="30" customHeight="1">
      <c r="A2" s="3" t="inlineStr">
        <is>
          <t>Counts update automatically from the SoA sheet.</t>
        </is>
      </c>
    </row>
    <row r="4" ht="32" customHeight="1">
      <c r="A4" s="9" t="inlineStr">
        <is>
          <t>Theme</t>
        </is>
      </c>
      <c r="B4" s="9" t="inlineStr">
        <is>
          <t>Controls</t>
        </is>
      </c>
      <c r="C4" s="9" t="inlineStr">
        <is>
          <t>Applicable</t>
        </is>
      </c>
      <c r="D4" s="9" t="inlineStr">
        <is>
          <t>Implemented</t>
        </is>
      </c>
      <c r="E4" s="9" t="inlineStr">
        <is>
          <t>Partially implemented</t>
        </is>
      </c>
      <c r="F4" s="9" t="inlineStr">
        <is>
          <t>Planned</t>
        </is>
      </c>
      <c r="G4" s="9" t="inlineStr">
        <is>
          <t>Excluded</t>
        </is>
      </c>
      <c r="H4" s="9" t="inlineStr">
        <is>
          <t>% implemented of applicable</t>
        </is>
      </c>
    </row>
    <row r="5">
      <c r="A5" s="5" t="inlineStr">
        <is>
          <t>Organisational</t>
        </is>
      </c>
      <c r="B5" s="5">
        <f>COUNTIF('SoA 27001'!C:C,A5)</f>
        <v/>
      </c>
      <c r="C5" s="5">
        <f>COUNTIFS('SoA 27001'!C:C,A5,'SoA 27001'!D:D,"Yes")</f>
        <v/>
      </c>
      <c r="D5" s="5">
        <f>COUNTIFS('SoA 27001'!C:C,A5,'SoA 27001'!G:G,"Implemented")</f>
        <v/>
      </c>
      <c r="E5" s="5">
        <f>COUNTIFS('SoA 27001'!C:C,A5,'SoA 27001'!G:G,"Partially implemented")</f>
        <v/>
      </c>
      <c r="F5" s="5">
        <f>COUNTIFS('SoA 27001'!C:C,A5,'SoA 27001'!G:G,"Planned")</f>
        <v/>
      </c>
      <c r="G5" s="5">
        <f>COUNTIFS('SoA 27001'!C:C,A5,'SoA 27001'!G:G,"Excluded")</f>
        <v/>
      </c>
      <c r="H5" s="5">
        <f>IF(C5=0,"",ROUND(D5/C5*100,0)&amp;"%")</f>
        <v/>
      </c>
    </row>
    <row r="6">
      <c r="A6" s="5" t="inlineStr">
        <is>
          <t>People</t>
        </is>
      </c>
      <c r="B6" s="5">
        <f>COUNTIF('SoA 27001'!C:C,A6)</f>
        <v/>
      </c>
      <c r="C6" s="5">
        <f>COUNTIFS('SoA 27001'!C:C,A6,'SoA 27001'!D:D,"Yes")</f>
        <v/>
      </c>
      <c r="D6" s="5">
        <f>COUNTIFS('SoA 27001'!C:C,A6,'SoA 27001'!G:G,"Implemented")</f>
        <v/>
      </c>
      <c r="E6" s="5">
        <f>COUNTIFS('SoA 27001'!C:C,A6,'SoA 27001'!G:G,"Partially implemented")</f>
        <v/>
      </c>
      <c r="F6" s="5">
        <f>COUNTIFS('SoA 27001'!C:C,A6,'SoA 27001'!G:G,"Planned")</f>
        <v/>
      </c>
      <c r="G6" s="5">
        <f>COUNTIFS('SoA 27001'!C:C,A6,'SoA 27001'!G:G,"Excluded")</f>
        <v/>
      </c>
      <c r="H6" s="5">
        <f>IF(C6=0,"",ROUND(D6/C6*100,0)&amp;"%")</f>
        <v/>
      </c>
    </row>
    <row r="7">
      <c r="A7" s="5" t="inlineStr">
        <is>
          <t>Physical</t>
        </is>
      </c>
      <c r="B7" s="5">
        <f>COUNTIF('SoA 27001'!C:C,A7)</f>
        <v/>
      </c>
      <c r="C7" s="5">
        <f>COUNTIFS('SoA 27001'!C:C,A7,'SoA 27001'!D:D,"Yes")</f>
        <v/>
      </c>
      <c r="D7" s="5">
        <f>COUNTIFS('SoA 27001'!C:C,A7,'SoA 27001'!G:G,"Implemented")</f>
        <v/>
      </c>
      <c r="E7" s="5">
        <f>COUNTIFS('SoA 27001'!C:C,A7,'SoA 27001'!G:G,"Partially implemented")</f>
        <v/>
      </c>
      <c r="F7" s="5">
        <f>COUNTIFS('SoA 27001'!C:C,A7,'SoA 27001'!G:G,"Planned")</f>
        <v/>
      </c>
      <c r="G7" s="5">
        <f>COUNTIFS('SoA 27001'!C:C,A7,'SoA 27001'!G:G,"Excluded")</f>
        <v/>
      </c>
      <c r="H7" s="5">
        <f>IF(C7=0,"",ROUND(D7/C7*100,0)&amp;"%")</f>
        <v/>
      </c>
    </row>
    <row r="8">
      <c r="A8" s="5" t="inlineStr">
        <is>
          <t>Technological</t>
        </is>
      </c>
      <c r="B8" s="5">
        <f>COUNTIF('SoA 27001'!C:C,A8)</f>
        <v/>
      </c>
      <c r="C8" s="5">
        <f>COUNTIFS('SoA 27001'!C:C,A8,'SoA 27001'!D:D,"Yes")</f>
        <v/>
      </c>
      <c r="D8" s="5">
        <f>COUNTIFS('SoA 27001'!C:C,A8,'SoA 27001'!G:G,"Implemented")</f>
        <v/>
      </c>
      <c r="E8" s="5">
        <f>COUNTIFS('SoA 27001'!C:C,A8,'SoA 27001'!G:G,"Partially implemented")</f>
        <v/>
      </c>
      <c r="F8" s="5">
        <f>COUNTIFS('SoA 27001'!C:C,A8,'SoA 27001'!G:G,"Planned")</f>
        <v/>
      </c>
      <c r="G8" s="5">
        <f>COUNTIFS('SoA 27001'!C:C,A8,'SoA 27001'!G:G,"Excluded")</f>
        <v/>
      </c>
      <c r="H8" s="5">
        <f>IF(C8=0,"",ROUND(D8/C8*100,0)&amp;"%")</f>
        <v/>
      </c>
    </row>
    <row r="9">
      <c r="A9" s="5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  <c r="F9" s="5">
        <f>SUM(F5:F8)</f>
        <v/>
      </c>
      <c r="G9" s="5">
        <f>SUM(G5:G8)</f>
        <v/>
      </c>
      <c r="H9" s="5">
        <f>IF(C9=0,"",ROUND(D9/C9*100,0)&amp;"%")</f>
        <v/>
      </c>
    </row>
  </sheetData>
  <autoFilter ref="A4:H9"/>
  <mergeCells count="1">
    <mergeCell ref="A2:H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55" customWidth="1" min="4" max="4"/>
    <col width="20" customWidth="1" min="5" max="5"/>
  </cols>
  <sheetData>
    <row r="1">
      <c r="A1" s="8" t="inlineStr">
        <is>
          <t>SoA approval</t>
        </is>
      </c>
    </row>
    <row r="2" ht="30" customHeight="1">
      <c r="A2" s="3" t="inlineStr">
        <is>
          <t>The SoA is approved by top management together with the risk treatment plan and residual risks (clause 6.1.3 f).</t>
        </is>
      </c>
    </row>
    <row r="4" ht="32" customHeight="1">
      <c r="A4" s="9" t="inlineStr">
        <is>
          <t>Version</t>
        </is>
      </c>
      <c r="B4" s="9" t="inlineStr">
        <is>
          <t>Date</t>
        </is>
      </c>
      <c r="C4" s="9" t="inlineStr">
        <is>
          <t>Approved by</t>
        </is>
      </c>
      <c r="D4" s="9" t="inlineStr">
        <is>
          <t>Decision</t>
        </is>
      </c>
      <c r="E4" s="9" t="inlineStr">
        <is>
          <t>Signature</t>
        </is>
      </c>
    </row>
    <row r="5">
      <c r="A5" s="5" t="inlineStr">
        <is>
          <t>2.0</t>
        </is>
      </c>
      <c r="B5" s="5" t="inlineStr">
        <is>
          <t>2026-10-21</t>
        </is>
      </c>
      <c r="C5" s="5" t="inlineStr">
        <is>
          <t>[CEO] for the Trust Council</t>
        </is>
      </c>
      <c r="D5" s="5" t="inlineStr">
        <is>
          <t>Approved together with residual risks in IMS-REG-002</t>
        </is>
      </c>
      <c r="E5" s="10" t="inlineStr">
        <is>
          <t>[signature]</t>
        </is>
      </c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</sheetData>
  <autoFilter ref="A4:E10"/>
  <mergeCells count="1">
    <mergeCell ref="A2:E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Statement of Applicability — ISO/IEC 27001:2022 Annex A</dc:title>
  <dcterms:created xmlns:dcterms="http://purl.org/dc/terms/" xmlns:xsi="http://www.w3.org/2001/XMLSchema-instance" xsi:type="dcterms:W3CDTF">2026-10-04T18:41:14Z</dcterms:created>
  <dcterms:modified xmlns:dcterms="http://purl.org/dc/terms/" xmlns:xsi="http://www.w3.org/2001/XMLSchema-instance" xsi:type="dcterms:W3CDTF">2026-10-04T18:41:14Z</dcterms:modified>
  <cp:lastModifiedBy>Prof. Dr. Mohamed Fawzi Elgendi (Fawzooz)</cp:lastModifiedBy>
</cp:coreProperties>
</file>