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NC &amp; CA Log" sheetId="2" state="visible" r:id="rId2"/>
    <sheet xmlns:r="http://schemas.openxmlformats.org/officeDocument/2006/relationships" name="Improvement Register" sheetId="3" state="visible" r:id="rId3"/>
    <sheet xmlns:r="http://schemas.openxmlformats.org/officeDocument/2006/relationships" name="Effectiveness Checks" sheetId="4" state="visible" r:id="rId4"/>
  </sheets>
  <definedNames>
    <definedName name="_xlnm._FilterDatabase" localSheetId="1" hidden="1">'NC &amp; CA Log'!$A$4:$Q$44</definedName>
    <definedName name="_xlnm.Print_Titles" localSheetId="1">'NC &amp; CA Log'!$4:$4</definedName>
    <definedName name="_xlnm._FilterDatabase" localSheetId="2" hidden="1">'Improvement Register'!$A$4:$K$45</definedName>
    <definedName name="_xlnm.Print_Titles" localSheetId="2">'Improvement Register'!$4:$4</definedName>
    <definedName name="_xlnm._FilterDatabase" localSheetId="3" hidden="1">'Effectiveness Checks'!$A$4:$J$40</definedName>
    <definedName name="_xlnm.Print_Titles" localSheetId="3">'Effectiveness Checks'!$4:$4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Nonconformity, Corrective Action and Improvement Log</t>
        </is>
      </c>
    </row>
    <row r="3" ht="48" customHeight="1">
      <c r="A3" s="3" t="inlineStr">
        <is>
          <t>Quillfen Studio's single log of nonconformities and corrective actions for both standards, the continual improvement register, and the record of effectiveness checks. Used with IMS-PRO-009 Nonconformity, Corrective Action and Improvement Procedure.</t>
        </is>
      </c>
    </row>
    <row r="5">
      <c r="A5" s="4" t="inlineStr">
        <is>
          <t>Document ID</t>
        </is>
      </c>
      <c r="B5" s="5" t="inlineStr">
        <is>
          <t>IMS-REG-008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[Compliance Coordinator]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05 Prove and Improve</t>
        </is>
      </c>
    </row>
    <row r="14">
      <c r="A14" s="4" t="inlineStr">
        <is>
          <t>ISO/IEC 27001:2022</t>
        </is>
      </c>
      <c r="B14" s="5" t="inlineStr">
        <is>
          <t>10.1, 10.2</t>
        </is>
      </c>
    </row>
    <row r="15">
      <c r="A15" s="4" t="inlineStr">
        <is>
          <t>ISO/IEC 42001:2023</t>
        </is>
      </c>
      <c r="B15" s="5" t="inlineStr">
        <is>
          <t>10.1, 10.2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30" customHeight="1">
      <c r="A21" t="inlineStr">
        <is>
          <t>•</t>
        </is>
      </c>
      <c r="B21" s="3" t="inlineStr">
        <is>
          <t>Put each nonconformity on its own row and each corrective action on a row below it, linked by 'Linked NC'. One NC can have several actions.</t>
        </is>
      </c>
    </row>
    <row r="22" ht="30" customHeight="1">
      <c r="A22" t="inlineStr">
        <is>
          <t>•</t>
        </is>
      </c>
      <c r="B22" s="3" t="inlineStr">
        <is>
          <t>'Due status' is a formula using TODAY(): it shows On track, Due soon (14 days or less), Overdue or Closed. Only change the 'Status' column by hand.</t>
        </is>
      </c>
    </row>
    <row r="24">
      <c r="A24" s="6" t="inlineStr">
        <is>
          <t>Sheets</t>
        </is>
      </c>
    </row>
    <row r="25" ht="30" customHeight="1">
      <c r="A25" s="7" t="inlineStr">
        <is>
          <t>NC &amp; CA Log</t>
        </is>
      </c>
      <c r="B25" s="3" t="inlineStr">
        <is>
          <t>Sources: audits, incidents, monitoring, management review, complaints, self-reporting. Status is set by hand; Due status calculates automatically.</t>
        </is>
      </c>
    </row>
    <row r="26" ht="30" customHeight="1">
      <c r="A26" s="7" t="inlineStr">
        <is>
          <t>Improvement Register</t>
        </is>
      </c>
      <c r="B26" s="3" t="inlineStr">
        <is>
          <t>Opportunities for improvement (OFI) from audits and other improvement ideas (IMP) from incidents, exercises, staff and interested parties. Reviewed at every management review.</t>
        </is>
      </c>
    </row>
    <row r="27" ht="30" customHeight="1">
      <c r="A27" s="7" t="inlineStr">
        <is>
          <t>Effectiveness Checks</t>
        </is>
      </c>
      <c r="B27" s="3" t="inlineStr">
        <is>
          <t>Defined when the action is planned; done by someone not responsible for the action. A result other than 'Effective' keeps the NC open or raises a follow-up.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1" customWidth="1" min="4" max="4"/>
    <col width="22" customWidth="1" min="5" max="5"/>
    <col width="18" customWidth="1" min="6" max="6"/>
    <col width="18" customWidth="1" min="7" max="7"/>
    <col width="42" customWidth="1" min="8" max="8"/>
    <col width="32" customWidth="1" min="9" max="9"/>
    <col width="38" customWidth="1" min="10" max="10"/>
    <col width="48" customWidth="1" min="11" max="11"/>
    <col width="15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>
      <c r="A1" s="8" t="inlineStr">
        <is>
          <t>Nonconformity and corrective action log</t>
        </is>
      </c>
    </row>
    <row r="2" ht="30" customHeight="1">
      <c r="A2" s="3" t="inlineStr">
        <is>
          <t>Sources: audits, incidents, monitoring, management review, complaints, self-reporting. Status is set by hand; Due status calculates automatically.</t>
        </is>
      </c>
    </row>
    <row r="4" ht="32" customHeight="1">
      <c r="A4" s="9" t="inlineStr">
        <is>
          <t>ID</t>
        </is>
      </c>
      <c r="B4" s="9" t="inlineStr">
        <is>
          <t>Record type</t>
        </is>
      </c>
      <c r="C4" s="9" t="inlineStr">
        <is>
          <t>Linked NC</t>
        </is>
      </c>
      <c r="D4" s="9" t="inlineStr">
        <is>
          <t>Date raised</t>
        </is>
      </c>
      <c r="E4" s="9" t="inlineStr">
        <is>
          <t>Source</t>
        </is>
      </c>
      <c r="F4" s="9" t="inlineStr">
        <is>
          <t>Grade</t>
        </is>
      </c>
      <c r="G4" s="9" t="inlineStr">
        <is>
          <t>Requirement (27001 / 42001)</t>
        </is>
      </c>
      <c r="H4" s="9" t="inlineStr">
        <is>
          <t>Description and evidence</t>
        </is>
      </c>
      <c r="I4" s="9" t="inlineStr">
        <is>
          <t>Correction (immediate fix)</t>
        </is>
      </c>
      <c r="J4" s="9" t="inlineStr">
        <is>
          <t>Root cause</t>
        </is>
      </c>
      <c r="K4" s="9" t="inlineStr">
        <is>
          <t>Corrective action</t>
        </is>
      </c>
      <c r="L4" s="9" t="inlineStr">
        <is>
          <t>Owner</t>
        </is>
      </c>
      <c r="M4" s="9" t="inlineStr">
        <is>
          <t>Due date</t>
        </is>
      </c>
      <c r="N4" s="9" t="inlineStr">
        <is>
          <t>Status</t>
        </is>
      </c>
      <c r="O4" s="9" t="inlineStr">
        <is>
          <t>Due status</t>
        </is>
      </c>
      <c r="P4" s="9" t="inlineStr">
        <is>
          <t>Date closed</t>
        </is>
      </c>
      <c r="Q4" s="9" t="inlineStr">
        <is>
          <t>Effectiveness check</t>
        </is>
      </c>
    </row>
    <row r="5">
      <c r="A5" s="5" t="inlineStr">
        <is>
          <t>NC-2026-001</t>
        </is>
      </c>
      <c r="B5" s="5" t="inlineStr">
        <is>
          <t>Nonconformity</t>
        </is>
      </c>
      <c r="C5" s="5" t="inlineStr"/>
      <c r="D5" s="10" t="n">
        <v>46163</v>
      </c>
      <c r="E5" s="5" t="inlineStr">
        <is>
          <t>Internal audit AUD-2026-01</t>
        </is>
      </c>
      <c r="F5" s="5" t="inlineStr">
        <is>
          <t>Minor nonconformity</t>
        </is>
      </c>
      <c r="G5" s="5" t="inlineStr">
        <is>
          <t>27001 5.18 / 9.1</t>
        </is>
      </c>
      <c r="H5" s="5" t="inlineStr">
        <is>
          <t>Quarterly access review of production cloud accounts was not performed for Q1 2026.</t>
        </is>
      </c>
      <c r="I5" s="5" t="inlineStr">
        <is>
          <t>Access review completed 2026-05-28; two stale roles removed.</t>
        </is>
      </c>
      <c r="J5" s="5" t="inlineStr">
        <is>
          <t>Access review was a calendar reminder for one person with no backup and no tracking.</t>
        </is>
      </c>
      <c r="K5" s="5" t="inlineStr">
        <is>
          <t>See CA-2026-001</t>
        </is>
      </c>
      <c r="L5" s="5" t="inlineStr">
        <is>
          <t>[Security Lead]</t>
        </is>
      </c>
      <c r="M5" s="10" t="n">
        <v>46234</v>
      </c>
      <c r="N5" s="5" t="inlineStr">
        <is>
          <t>Closed</t>
        </is>
      </c>
      <c r="O5" s="5">
        <f>IF(N5="Closed","Closed",IF(M5="","",IF(TODAY()&gt;M5,"Overdue",IF(M5-TODAY()&lt;=14,"Due soon","On track"))))</f>
        <v/>
      </c>
      <c r="P5" s="10" t="n">
        <v>46227</v>
      </c>
      <c r="Q5" s="5" t="inlineStr">
        <is>
          <t>EC-01</t>
        </is>
      </c>
    </row>
    <row r="6">
      <c r="A6" s="5" t="inlineStr">
        <is>
          <t>CA-2026-001</t>
        </is>
      </c>
      <c r="B6" s="5" t="inlineStr">
        <is>
          <t>Corrective action</t>
        </is>
      </c>
      <c r="C6" s="5" t="inlineStr">
        <is>
          <t>NC-2026-001</t>
        </is>
      </c>
      <c r="D6" s="10" t="n">
        <v>46170</v>
      </c>
      <c r="E6" s="5" t="inlineStr"/>
      <c r="F6" s="5" t="inlineStr"/>
      <c r="G6" s="5" t="inlineStr"/>
      <c r="H6" s="5" t="inlineStr"/>
      <c r="I6" s="5" t="inlineStr"/>
      <c r="J6" s="5" t="inlineStr"/>
      <c r="K6" s="5" t="inlineStr">
        <is>
          <t>Access reviews scheduled as recurring tickets in the compliance tracker, assigned to the Security Lead with the Platform Engineer as backup; overdue tickets reported to the Trust Council.</t>
        </is>
      </c>
      <c r="L6" s="5" t="inlineStr">
        <is>
          <t>[Security Lead]</t>
        </is>
      </c>
      <c r="M6" s="10" t="n">
        <v>46234</v>
      </c>
      <c r="N6" s="5" t="inlineStr">
        <is>
          <t>Closed</t>
        </is>
      </c>
      <c r="O6" s="5">
        <f>IF(N6="Closed","Closed",IF(M6="","",IF(TODAY()&gt;M6,"Overdue",IF(M6-TODAY()&lt;=14,"Due soon","On track"))))</f>
        <v/>
      </c>
      <c r="P6" s="10" t="n">
        <v>46227</v>
      </c>
      <c r="Q6" s="5" t="inlineStr">
        <is>
          <t>EC-01</t>
        </is>
      </c>
    </row>
    <row r="7">
      <c r="A7" s="5" t="inlineStr">
        <is>
          <t>NC-2026-002</t>
        </is>
      </c>
      <c r="B7" s="5" t="inlineStr">
        <is>
          <t>Nonconformity</t>
        </is>
      </c>
      <c r="C7" s="5" t="inlineStr"/>
      <c r="D7" s="10" t="n">
        <v>46154</v>
      </c>
      <c r="E7" s="5" t="inlineStr">
        <is>
          <t>Incident INC-2026-005</t>
        </is>
      </c>
      <c r="F7" s="5" t="inlineStr">
        <is>
          <t>Minor nonconformity</t>
        </is>
      </c>
      <c r="G7" s="5" t="inlineStr">
        <is>
          <t>42001 9.1 / A.6.2.6</t>
        </is>
      </c>
      <c r="H7" s="5" t="inlineStr">
        <is>
          <t>Fairness monitoring defined in the ArtistMatch impact assessment was not running after release; the exposure ratio for new artists fell to 0.55 unnoticed.</t>
        </is>
      </c>
      <c r="I7" s="5" t="inlineStr">
        <is>
          <t>Exploration boost re-enabled; ratio back to 0.83 by 2026-06-05.</t>
        </is>
      </c>
      <c r="J7" s="5" t="inlineStr">
        <is>
          <t>Release sign-off did not check that the monitoring promised in the impact assessment was live.</t>
        </is>
      </c>
      <c r="K7" s="5" t="inlineStr">
        <is>
          <t>See CA-2026-002, CA-2026-003</t>
        </is>
      </c>
      <c r="L7" s="5" t="inlineStr">
        <is>
          <t>[Head of AI]</t>
        </is>
      </c>
      <c r="M7" s="10" t="n">
        <v>46234</v>
      </c>
      <c r="N7" s="5" t="inlineStr">
        <is>
          <t>Closed</t>
        </is>
      </c>
      <c r="O7" s="5">
        <f>IF(N7="Closed","Closed",IF(M7="","",IF(TODAY()&gt;M7,"Overdue",IF(M7-TODAY()&lt;=14,"Due soon","On track"))))</f>
        <v/>
      </c>
      <c r="P7" s="10" t="n">
        <v>46233</v>
      </c>
      <c r="Q7" s="5" t="inlineStr">
        <is>
          <t>EC-02, EC-03</t>
        </is>
      </c>
    </row>
    <row r="8">
      <c r="A8" s="5" t="inlineStr">
        <is>
          <t>CA-2026-002</t>
        </is>
      </c>
      <c r="B8" s="5" t="inlineStr">
        <is>
          <t>Corrective action</t>
        </is>
      </c>
      <c r="C8" s="5" t="inlineStr">
        <is>
          <t>NC-2026-002</t>
        </is>
      </c>
      <c r="D8" s="10" t="n">
        <v>46161</v>
      </c>
      <c r="E8" s="5" t="inlineStr"/>
      <c r="F8" s="5" t="inlineStr"/>
      <c r="G8" s="5" t="inlineStr"/>
      <c r="H8" s="5" t="inlineStr"/>
      <c r="I8" s="5" t="inlineStr"/>
      <c r="J8" s="5" t="inlineStr"/>
      <c r="K8" s="5" t="inlineStr">
        <is>
          <t>Build a monthly ArtistMatch fairness report (exposure ratio, new vs established, by portfolio language) reviewed by the Head of AI.</t>
        </is>
      </c>
      <c r="L8" s="5" t="inlineStr">
        <is>
          <t>[Head of AI]</t>
        </is>
      </c>
      <c r="M8" s="10" t="n">
        <v>46203</v>
      </c>
      <c r="N8" s="5" t="inlineStr">
        <is>
          <t>Closed</t>
        </is>
      </c>
      <c r="O8" s="5">
        <f>IF(N8="Closed","Closed",IF(M8="","",IF(TODAY()&gt;M8,"Overdue",IF(M8-TODAY()&lt;=14,"Due soon","On track"))))</f>
        <v/>
      </c>
      <c r="P8" s="10" t="n">
        <v>46199</v>
      </c>
      <c r="Q8" s="5" t="inlineStr">
        <is>
          <t>EC-02</t>
        </is>
      </c>
    </row>
    <row r="9">
      <c r="A9" s="5" t="inlineStr">
        <is>
          <t>CA-2026-003</t>
        </is>
      </c>
      <c r="B9" s="5" t="inlineStr">
        <is>
          <t>Corrective action</t>
        </is>
      </c>
      <c r="C9" s="5" t="inlineStr">
        <is>
          <t>NC-2026-002</t>
        </is>
      </c>
      <c r="D9" s="10" t="n">
        <v>46161</v>
      </c>
      <c r="E9" s="5" t="inlineStr"/>
      <c r="F9" s="5" t="inlineStr"/>
      <c r="G9" s="5" t="inlineStr"/>
      <c r="H9" s="5" t="inlineStr"/>
      <c r="I9" s="5" t="inlineStr"/>
      <c r="J9" s="5" t="inlineStr"/>
      <c r="K9" s="5" t="inlineStr">
        <is>
          <t>Add 'monitoring from the impact assessment is live and alerting' as a mandatory item in the AI Release Review checklist.</t>
        </is>
      </c>
      <c r="L9" s="5" t="inlineStr">
        <is>
          <t>[Head of AI]</t>
        </is>
      </c>
      <c r="M9" s="10" t="n">
        <v>46234</v>
      </c>
      <c r="N9" s="5" t="inlineStr">
        <is>
          <t>Closed</t>
        </is>
      </c>
      <c r="O9" s="5">
        <f>IF(N9="Closed","Closed",IF(M9="","",IF(TODAY()&gt;M9,"Overdue",IF(M9-TODAY()&lt;=14,"Due soon","On track"))))</f>
        <v/>
      </c>
      <c r="P9" s="10" t="n">
        <v>46233</v>
      </c>
      <c r="Q9" s="5" t="inlineStr">
        <is>
          <t>EC-03</t>
        </is>
      </c>
    </row>
    <row r="10">
      <c r="A10" s="5" t="inlineStr">
        <is>
          <t>NC-2026-003</t>
        </is>
      </c>
      <c r="B10" s="5" t="inlineStr">
        <is>
          <t>Nonconformity</t>
        </is>
      </c>
      <c r="C10" s="5" t="inlineStr"/>
      <c r="D10" s="10" t="n">
        <v>46284</v>
      </c>
      <c r="E10" s="5" t="inlineStr">
        <is>
          <t>Internal audit AUD-2026-02 (also INC-2026-007)</t>
        </is>
      </c>
      <c r="F10" s="5" t="inlineStr">
        <is>
          <t>Minor nonconformity</t>
        </is>
      </c>
      <c r="G10" s="5" t="inlineStr">
        <is>
          <t>42001 A.10.3 / 27001 5.22</t>
        </is>
      </c>
      <c r="H10" s="5" t="inlineStr">
        <is>
          <t>Supplier changes to SafeFrame were not assessed before going live; the supplier agreement does not require notice of model changes.</t>
        </is>
      </c>
      <c r="I10" s="5" t="inlineStr">
        <is>
          <t>SafeFrame pinned to previous model version; own likeness check added (2026-08-17/18).</t>
        </is>
      </c>
      <c r="J10" s="5" t="inlineStr">
        <is>
          <t>supplier onboarding checklist had no AI-model change clause.</t>
        </is>
      </c>
      <c r="K10" s="5" t="inlineStr">
        <is>
          <t>See CA-2026-004</t>
        </is>
      </c>
      <c r="L10" s="5" t="inlineStr">
        <is>
          <t>[Privacy and Legal Lead]</t>
        </is>
      </c>
      <c r="M10" s="10" t="n">
        <v>46356</v>
      </c>
      <c r="N10" s="5" t="inlineStr">
        <is>
          <t>In progress</t>
        </is>
      </c>
      <c r="O10" s="5">
        <f>IF(N10="Closed","Closed",IF(M10="","",IF(TODAY()&gt;M10,"Overdue",IF(M10-TODAY()&lt;=14,"Due soon","On track"))))</f>
        <v/>
      </c>
      <c r="P10" s="5" t="n"/>
      <c r="Q10" s="5" t="inlineStr">
        <is>
          <t>EC-04</t>
        </is>
      </c>
    </row>
    <row r="11">
      <c r="A11" s="5" t="inlineStr">
        <is>
          <t>CA-2026-004</t>
        </is>
      </c>
      <c r="B11" s="5" t="inlineStr">
        <is>
          <t>Corrective action</t>
        </is>
      </c>
      <c r="C11" s="5" t="inlineStr">
        <is>
          <t>NC-2026-003</t>
        </is>
      </c>
      <c r="D11" s="10" t="n">
        <v>46297</v>
      </c>
      <c r="E11" s="5" t="inlineStr"/>
      <c r="F11" s="5" t="inlineStr"/>
      <c r="G11" s="5" t="inlineStr"/>
      <c r="H11" s="5" t="inlineStr"/>
      <c r="I11" s="5" t="inlineStr"/>
      <c r="J11" s="5" t="inlineStr">
        <is>
          <t>supplier onboarding checklist had no AI-model change clause.</t>
        </is>
      </c>
      <c r="K11" s="5" t="inlineStr">
        <is>
          <t>add a 'model change notification and version pinning' clause to the AI supplier contract template and to the SafeFrame agreement; add supplier model changes to the change-management trigger list.</t>
        </is>
      </c>
      <c r="L11" s="5" t="inlineStr">
        <is>
          <t>[Privacy and Legal Lead]</t>
        </is>
      </c>
      <c r="M11" s="10" t="n">
        <v>46356</v>
      </c>
      <c r="N11" s="5" t="inlineStr">
        <is>
          <t>In progress</t>
        </is>
      </c>
      <c r="O11" s="5">
        <f>IF(N11="Closed","Closed",IF(M11="","",IF(TODAY()&gt;M11,"Overdue",IF(M11-TODAY()&lt;=14,"Due soon","On track"))))</f>
        <v/>
      </c>
      <c r="P11" s="5" t="n"/>
      <c r="Q11" s="5" t="inlineStr">
        <is>
          <t>EC-04</t>
        </is>
      </c>
    </row>
    <row r="12">
      <c r="A12" s="5" t="inlineStr">
        <is>
          <t>NC-2026-004</t>
        </is>
      </c>
      <c r="B12" s="5" t="inlineStr">
        <is>
          <t>Nonconformity</t>
        </is>
      </c>
      <c r="C12" s="5" t="inlineStr"/>
      <c r="D12" s="10" t="n">
        <v>46284</v>
      </c>
      <c r="E12" s="5" t="inlineStr">
        <is>
          <t>Internal audit AUD-2026-02</t>
        </is>
      </c>
      <c r="F12" s="5" t="inlineStr">
        <is>
          <t>Minor nonconformity</t>
        </is>
      </c>
      <c r="G12" s="5" t="inlineStr">
        <is>
          <t>27001 7.2 / 42001 7.2</t>
        </is>
      </c>
      <c r="H12" s="5" t="inlineStr">
        <is>
          <t>Two contractors who joined in July had not completed awareness training within 30 days.</t>
        </is>
      </c>
      <c r="I12" s="5" t="inlineStr">
        <is>
          <t>Both contractors enrolled; training completed 2026-09-24.</t>
        </is>
      </c>
      <c r="J12" s="5" t="inlineStr">
        <is>
          <t>contractor onboarding handled by hiring managers, not People Ops.</t>
        </is>
      </c>
      <c r="K12" s="5" t="inlineStr">
        <is>
          <t>See CA-2026-005</t>
        </is>
      </c>
      <c r="L12" s="5" t="inlineStr">
        <is>
          <t>[People and Operations Lead]</t>
        </is>
      </c>
      <c r="M12" s="10" t="n">
        <v>46326</v>
      </c>
      <c r="N12" s="5" t="inlineStr">
        <is>
          <t>In progress</t>
        </is>
      </c>
      <c r="O12" s="5">
        <f>IF(N12="Closed","Closed",IF(M12="","",IF(TODAY()&gt;M12,"Overdue",IF(M12-TODAY()&lt;=14,"Due soon","On track"))))</f>
        <v/>
      </c>
      <c r="P12" s="5" t="n"/>
      <c r="Q12" s="5" t="inlineStr">
        <is>
          <t>EC-05</t>
        </is>
      </c>
    </row>
    <row r="13">
      <c r="A13" s="5" t="inlineStr">
        <is>
          <t>CA-2026-005</t>
        </is>
      </c>
      <c r="B13" s="5" t="inlineStr">
        <is>
          <t>Corrective action</t>
        </is>
      </c>
      <c r="C13" s="5" t="inlineStr">
        <is>
          <t>NC-2026-004</t>
        </is>
      </c>
      <c r="D13" s="10" t="n">
        <v>46296</v>
      </c>
      <c r="E13" s="5" t="inlineStr"/>
      <c r="F13" s="5" t="inlineStr"/>
      <c r="G13" s="5" t="inlineStr"/>
      <c r="H13" s="5" t="inlineStr"/>
      <c r="I13" s="5" t="inlineStr"/>
      <c r="J13" s="5" t="inlineStr">
        <is>
          <t>contractor onboarding handled by hiring managers, not People Ops.</t>
        </is>
      </c>
      <c r="K13" s="5" t="inlineStr">
        <is>
          <t>route all contractor onboarding through the People Ops checklist with automatic training enrolment and a day-25 reminder.</t>
        </is>
      </c>
      <c r="L13" s="5" t="inlineStr">
        <is>
          <t>[People and Operations Lead]</t>
        </is>
      </c>
      <c r="M13" s="10" t="n">
        <v>46326</v>
      </c>
      <c r="N13" s="5" t="inlineStr">
        <is>
          <t>In progress</t>
        </is>
      </c>
      <c r="O13" s="5">
        <f>IF(N13="Closed","Closed",IF(M13="","",IF(TODAY()&gt;M13,"Overdue",IF(M13-TODAY()&lt;=14,"Due soon","On track"))))</f>
        <v/>
      </c>
      <c r="P13" s="5" t="n"/>
      <c r="Q13" s="5" t="inlineStr">
        <is>
          <t>EC-05</t>
        </is>
      </c>
    </row>
    <row r="14">
      <c r="A14" s="11" t="inlineStr">
        <is>
          <t>[NC-YYYY-NNN]</t>
        </is>
      </c>
      <c r="B14" s="5" t="inlineStr">
        <is>
          <t>Nonconformity</t>
        </is>
      </c>
      <c r="C14" s="5" t="inlineStr"/>
      <c r="D14" s="11" t="inlineStr">
        <is>
          <t>[date]</t>
        </is>
      </c>
      <c r="E14" s="11" t="inlineStr">
        <is>
          <t>[source]</t>
        </is>
      </c>
      <c r="F14" s="11" t="inlineStr">
        <is>
          <t>[grade]</t>
        </is>
      </c>
      <c r="G14" s="11" t="inlineStr">
        <is>
          <t>[27001 / 42001 ref]</t>
        </is>
      </c>
      <c r="H14" s="11" t="inlineStr">
        <is>
          <t>[what was not met, with evidence]</t>
        </is>
      </c>
      <c r="I14" s="11" t="inlineStr">
        <is>
          <t>[immediate fix]</t>
        </is>
      </c>
      <c r="J14" s="11" t="inlineStr">
        <is>
          <t>[root cause]</t>
        </is>
      </c>
      <c r="K14" s="11" t="inlineStr">
        <is>
          <t>[CA ID]</t>
        </is>
      </c>
      <c r="L14" s="11" t="inlineStr">
        <is>
          <t>[owner]</t>
        </is>
      </c>
      <c r="M14" s="5" t="inlineStr"/>
      <c r="N14" s="5" t="inlineStr">
        <is>
          <t>Open</t>
        </is>
      </c>
      <c r="O14" s="5">
        <f>IF(N14="Closed","Closed",IF(M14="","",IF(TODAY()&gt;M14,"Overdue",IF(M14-TODAY()&lt;=14,"Due soon","On track"))))</f>
        <v/>
      </c>
      <c r="P14" s="5" t="inlineStr"/>
      <c r="Q14" s="5" t="inlineStr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>
        <f>IF(N15="Closed","Closed",IF(M15="","",IF(TODAY()&gt;M15,"Overdue",IF(M15-TODAY()&lt;=14,"Due soon","On track"))))</f>
        <v/>
      </c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>
        <f>IF(N16="Closed","Closed",IF(M16="","",IF(TODAY()&gt;M16,"Overdue",IF(M16-TODAY()&lt;=14,"Due soon","On track"))))</f>
        <v/>
      </c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>
        <f>IF(N17="Closed","Closed",IF(M17="","",IF(TODAY()&gt;M17,"Overdue",IF(M17-TODAY()&lt;=14,"Due soon","On track"))))</f>
        <v/>
      </c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>
        <f>IF(N18="Closed","Closed",IF(M18="","",IF(TODAY()&gt;M18,"Overdue",IF(M18-TODAY()&lt;=14,"Due soon","On track"))))</f>
        <v/>
      </c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>
        <f>IF(N19="Closed","Closed",IF(M19="","",IF(TODAY()&gt;M19,"Overdue",IF(M19-TODAY()&lt;=14,"Due soon","On track"))))</f>
        <v/>
      </c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>
        <f>IF(N20="Closed","Closed",IF(M20="","",IF(TODAY()&gt;M20,"Overdue",IF(M20-TODAY()&lt;=14,"Due soon","On track"))))</f>
        <v/>
      </c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>
        <f>IF(N21="Closed","Closed",IF(M21="","",IF(TODAY()&gt;M21,"Overdue",IF(M21-TODAY()&lt;=14,"Due soon","On track"))))</f>
        <v/>
      </c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>
        <f>IF(N22="Closed","Closed",IF(M22="","",IF(TODAY()&gt;M22,"Overdue",IF(M22-TODAY()&lt;=14,"Due soon","On track"))))</f>
        <v/>
      </c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>
        <f>IF(N23="Closed","Closed",IF(M23="","",IF(TODAY()&gt;M23,"Overdue",IF(M23-TODAY()&lt;=14,"Due soon","On track"))))</f>
        <v/>
      </c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>
        <f>IF(N24="Closed","Closed",IF(M24="","",IF(TODAY()&gt;M24,"Overdue",IF(M24-TODAY()&lt;=14,"Due soon","On track"))))</f>
        <v/>
      </c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>
        <f>IF(N25="Closed","Closed",IF(M25="","",IF(TODAY()&gt;M25,"Overdue",IF(M25-TODAY()&lt;=14,"Due soon","On track"))))</f>
        <v/>
      </c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>
        <f>IF(N26="Closed","Closed",IF(M26="","",IF(TODAY()&gt;M26,"Overdue",IF(M26-TODAY()&lt;=14,"Due soon","On track"))))</f>
        <v/>
      </c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>
        <f>IF(N27="Closed","Closed",IF(M27="","",IF(TODAY()&gt;M27,"Overdue",IF(M27-TODAY()&lt;=14,"Due soon","On track"))))</f>
        <v/>
      </c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>
        <f>IF(N28="Closed","Closed",IF(M28="","",IF(TODAY()&gt;M28,"Overdue",IF(M28-TODAY()&lt;=14,"Due soon","On track"))))</f>
        <v/>
      </c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>
        <f>IF(N29="Closed","Closed",IF(M29="","",IF(TODAY()&gt;M29,"Overdue",IF(M29-TODAY()&lt;=14,"Due soon","On track"))))</f>
        <v/>
      </c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>
        <f>IF(N30="Closed","Closed",IF(M30="","",IF(TODAY()&gt;M30,"Overdue",IF(M30-TODAY()&lt;=14,"Due soon","On track"))))</f>
        <v/>
      </c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>
        <f>IF(N31="Closed","Closed",IF(M31="","",IF(TODAY()&gt;M31,"Overdue",IF(M31-TODAY()&lt;=14,"Due soon","On track"))))</f>
        <v/>
      </c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>
        <f>IF(N32="Closed","Closed",IF(M32="","",IF(TODAY()&gt;M32,"Overdue",IF(M32-TODAY()&lt;=14,"Due soon","On track"))))</f>
        <v/>
      </c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>
        <f>IF(N33="Closed","Closed",IF(M33="","",IF(TODAY()&gt;M33,"Overdue",IF(M33-TODAY()&lt;=14,"Due soon","On track"))))</f>
        <v/>
      </c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>
        <f>IF(N34="Closed","Closed",IF(M34="","",IF(TODAY()&gt;M34,"Overdue",IF(M34-TODAY()&lt;=14,"Due soon","On track"))))</f>
        <v/>
      </c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>
        <f>IF(N35="Closed","Closed",IF(M35="","",IF(TODAY()&gt;M35,"Overdue",IF(M35-TODAY()&lt;=14,"Due soon","On track"))))</f>
        <v/>
      </c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>
        <f>IF(N36="Closed","Closed",IF(M36="","",IF(TODAY()&gt;M36,"Overdue",IF(M36-TODAY()&lt;=14,"Due soon","On track"))))</f>
        <v/>
      </c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>
        <f>IF(N37="Closed","Closed",IF(M37="","",IF(TODAY()&gt;M37,"Overdue",IF(M37-TODAY()&lt;=14,"Due soon","On track"))))</f>
        <v/>
      </c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>
        <f>IF(N38="Closed","Closed",IF(M38="","",IF(TODAY()&gt;M38,"Overdue",IF(M38-TODAY()&lt;=14,"Due soon","On track"))))</f>
        <v/>
      </c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>
        <f>IF(N39="Closed","Closed",IF(M39="","",IF(TODAY()&gt;M39,"Overdue",IF(M39-TODAY()&lt;=14,"Due soon","On track"))))</f>
        <v/>
      </c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>
        <f>IF(N40="Closed","Closed",IF(M40="","",IF(TODAY()&gt;M40,"Overdue",IF(M40-TODAY()&lt;=14,"Due soon","On track"))))</f>
        <v/>
      </c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>
        <f>IF(N41="Closed","Closed",IF(M41="","",IF(TODAY()&gt;M41,"Overdue",IF(M41-TODAY()&lt;=14,"Due soon","On track"))))</f>
        <v/>
      </c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>
        <f>IF(N42="Closed","Closed",IF(M42="","",IF(TODAY()&gt;M42,"Overdue",IF(M42-TODAY()&lt;=14,"Due soon","On track"))))</f>
        <v/>
      </c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>
        <f>IF(N43="Closed","Closed",IF(M43="","",IF(TODAY()&gt;M43,"Overdue",IF(M43-TODAY()&lt;=14,"Due soon","On track"))))</f>
        <v/>
      </c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>
        <f>IF(N44="Closed","Closed",IF(M44="","",IF(TODAY()&gt;M44,"Overdue",IF(M44-TODAY()&lt;=14,"Due soon","On track"))))</f>
        <v/>
      </c>
      <c r="P44" s="5" t="n"/>
      <c r="Q44" s="5" t="n"/>
    </row>
  </sheetData>
  <autoFilter ref="A4:Q44"/>
  <mergeCells count="1">
    <mergeCell ref="A2:Q2"/>
  </mergeCells>
  <conditionalFormatting sqref="N5:N44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conditionalFormatting sqref="O5:O44">
    <cfRule type="cellIs" priority="19" operator="equal" dxfId="0">
      <formula>"Implemented"</formula>
    </cfRule>
    <cfRule type="cellIs" priority="20" operator="equal" dxfId="0">
      <formula>"Done"</formula>
    </cfRule>
    <cfRule type="cellIs" priority="21" operator="equal" dxfId="0">
      <formula>"Closed"</formula>
    </cfRule>
    <cfRule type="cellIs" priority="22" operator="equal" dxfId="0">
      <formula>"Yes"</formula>
    </cfRule>
    <cfRule type="cellIs" priority="23" operator="equal" dxfId="0">
      <formula>"Met"</formula>
    </cfRule>
    <cfRule type="cellIs" priority="24" operator="equal" dxfId="1">
      <formula>"Partially implemented"</formula>
    </cfRule>
    <cfRule type="cellIs" priority="25" operator="equal" dxfId="1">
      <formula>"Partial"</formula>
    </cfRule>
    <cfRule type="cellIs" priority="26" operator="equal" dxfId="1">
      <formula>"Done late"</formula>
    </cfRule>
    <cfRule type="cellIs" priority="27" operator="equal" dxfId="1">
      <formula>"In progress"</formula>
    </cfRule>
    <cfRule type="cellIs" priority="28" operator="equal" dxfId="1">
      <formula>"Open"</formula>
    </cfRule>
    <cfRule type="cellIs" priority="29" operator="equal" dxfId="1">
      <formula>"On track"</formula>
    </cfRule>
    <cfRule type="cellIs" priority="30" operator="equal" dxfId="2">
      <formula>"Planned"</formula>
    </cfRule>
    <cfRule type="cellIs" priority="31" operator="equal" dxfId="3">
      <formula>"Not started"</formula>
    </cfRule>
    <cfRule type="cellIs" priority="32" operator="equal" dxfId="4">
      <formula>"Not implemented"</formula>
    </cfRule>
    <cfRule type="cellIs" priority="33" operator="equal" dxfId="4">
      <formula>"No"</formula>
    </cfRule>
    <cfRule type="cellIs" priority="34" operator="equal" dxfId="4">
      <formula>"Overdue"</formula>
    </cfRule>
    <cfRule type="cellIs" priority="35" operator="equal" dxfId="4">
      <formula>"Not met"</formula>
    </cfRule>
    <cfRule type="cellIs" priority="36" operator="equal" dxfId="5">
      <formula>"Excluded"</formula>
    </cfRule>
  </conditionalFormatting>
  <dataValidations count="3">
    <dataValidation sqref="B5:B44" showDropDown="0" showInputMessage="0" showErrorMessage="0" allowBlank="1" errorTitle="Invalid value" error="Pick a value from the list." type="list">
      <formula1>"Nonconformity,Corrective action"</formula1>
    </dataValidation>
    <dataValidation sqref="F5:F44" showDropDown="0" showInputMessage="0" showErrorMessage="0" allowBlank="1" errorTitle="Invalid value" error="Pick a value from the list." type="list">
      <formula1>"Major nonconformity,Minor nonconformity"</formula1>
    </dataValidation>
    <dataValidation sqref="N5:N44" showDropDown="0" showInputMessage="0" showErrorMessage="0" allowBlank="1" errorTitle="Invalid value" error="Pick a value from the list." type="list">
      <formula1>"Open,In progress,Closed"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48" customWidth="1" min="4" max="4"/>
    <col width="30" customWidth="1" min="5" max="5"/>
    <col width="20" customWidth="1" min="6" max="6"/>
    <col width="15" customWidth="1" min="7" max="7"/>
    <col width="10" customWidth="1" min="8" max="8"/>
    <col width="11" customWidth="1" min="9" max="9"/>
    <col width="12" customWidth="1" min="10" max="10"/>
    <col width="40" customWidth="1" min="11" max="11"/>
  </cols>
  <sheetData>
    <row r="1">
      <c r="A1" s="8" t="inlineStr">
        <is>
          <t>Continual improvement register</t>
        </is>
      </c>
    </row>
    <row r="2" ht="30" customHeight="1">
      <c r="A2" s="3" t="inlineStr">
        <is>
          <t>Opportunities for improvement (OFI) from audits and other improvement ideas (IMP) from incidents, exercises, staff and interested parties. Reviewed at every management review.</t>
        </is>
      </c>
    </row>
    <row r="4" ht="32" customHeight="1">
      <c r="A4" s="9" t="inlineStr">
        <is>
          <t>ID</t>
        </is>
      </c>
      <c r="B4" s="9" t="inlineStr">
        <is>
          <t>Date raised</t>
        </is>
      </c>
      <c r="C4" s="9" t="inlineStr">
        <is>
          <t>Source</t>
        </is>
      </c>
      <c r="D4" s="9" t="inlineStr">
        <is>
          <t>Improvement</t>
        </is>
      </c>
      <c r="E4" s="9" t="inlineStr">
        <is>
          <t>Expected benefit</t>
        </is>
      </c>
      <c r="F4" s="9" t="inlineStr">
        <is>
          <t>Clause / control</t>
        </is>
      </c>
      <c r="G4" s="9" t="inlineStr">
        <is>
          <t>Owner</t>
        </is>
      </c>
      <c r="H4" s="9" t="inlineStr">
        <is>
          <t>Decision</t>
        </is>
      </c>
      <c r="I4" s="9" t="inlineStr">
        <is>
          <t>Due</t>
        </is>
      </c>
      <c r="J4" s="9" t="inlineStr">
        <is>
          <t>Status</t>
        </is>
      </c>
      <c r="K4" s="9" t="inlineStr">
        <is>
          <t>Outcome / notes</t>
        </is>
      </c>
    </row>
    <row r="5">
      <c r="A5" s="5" t="inlineStr">
        <is>
          <t>OFI-2026-01</t>
        </is>
      </c>
      <c r="B5" s="10" t="n">
        <v>46163</v>
      </c>
      <c r="C5" s="5" t="inlineStr">
        <is>
          <t>Audit AUD-2026-01</t>
        </is>
      </c>
      <c r="D5" s="5" t="inlineStr">
        <is>
          <t>Link risks to assets automatically by asset ID instead of free text.</t>
        </is>
      </c>
      <c r="E5" s="5" t="inlineStr">
        <is>
          <t>Faster risk review after asset changes</t>
        </is>
      </c>
      <c r="F5" s="5" t="inlineStr">
        <is>
          <t>27001 6.1.2 / 42001 6.1.2</t>
        </is>
      </c>
      <c r="G5" s="5" t="inlineStr">
        <is>
          <t>[Security Lead]</t>
        </is>
      </c>
      <c r="H5" s="5" t="inlineStr">
        <is>
          <t>Adopt</t>
        </is>
      </c>
      <c r="I5" s="10" t="n">
        <v>46265</v>
      </c>
      <c r="J5" s="5" t="inlineStr">
        <is>
          <t>Done</t>
        </is>
      </c>
      <c r="K5" s="5" t="inlineStr">
        <is>
          <t>Asset ID column with drop-down added to the risk register.</t>
        </is>
      </c>
    </row>
    <row r="6">
      <c r="A6" s="5" t="inlineStr">
        <is>
          <t>OFI-2026-02</t>
        </is>
      </c>
      <c r="B6" s="10" t="n">
        <v>46163</v>
      </c>
      <c r="C6" s="5" t="inlineStr">
        <is>
          <t>Audit AUD-2026-01</t>
        </is>
      </c>
      <c r="D6" s="5" t="inlineStr">
        <is>
          <t>Collect policy acknowledgements in the HR system rather than a spreadsheet.</t>
        </is>
      </c>
      <c r="E6" s="5" t="inlineStr">
        <is>
          <t>Reliable evidence for awareness</t>
        </is>
      </c>
      <c r="F6" s="5" t="inlineStr">
        <is>
          <t>27001 7.3 / 42001 7.3</t>
        </is>
      </c>
      <c r="G6" s="5" t="inlineStr">
        <is>
          <t>[People and Operations Lead]</t>
        </is>
      </c>
      <c r="H6" s="5" t="inlineStr">
        <is>
          <t>Adopt</t>
        </is>
      </c>
      <c r="I6" s="10" t="n">
        <v>46295</v>
      </c>
      <c r="J6" s="5" t="inlineStr">
        <is>
          <t>Done</t>
        </is>
      </c>
      <c r="K6" s="5" t="inlineStr">
        <is>
          <t>Live since September onboarding.</t>
        </is>
      </c>
    </row>
    <row r="7">
      <c r="A7" s="5" t="inlineStr">
        <is>
          <t>OFI-2026-03</t>
        </is>
      </c>
      <c r="B7" s="10" t="n">
        <v>46163</v>
      </c>
      <c r="C7" s="5" t="inlineStr">
        <is>
          <t>Audit AUD-2026-01</t>
        </is>
      </c>
      <c r="D7" s="5" t="inlineStr">
        <is>
          <t>Give the AI Release Review template a fixed fairness and content-safety section.</t>
        </is>
      </c>
      <c r="E7" s="5" t="inlineStr">
        <is>
          <t>Consistent release decisions</t>
        </is>
      </c>
      <c r="F7" s="5" t="inlineStr">
        <is>
          <t>42001 A.6.2.4, A.6.2.5</t>
        </is>
      </c>
      <c r="G7" s="5" t="inlineStr">
        <is>
          <t>[Head of AI]</t>
        </is>
      </c>
      <c r="H7" s="5" t="inlineStr">
        <is>
          <t>Adopt</t>
        </is>
      </c>
      <c r="I7" s="10" t="n">
        <v>46234</v>
      </c>
      <c r="J7" s="5" t="inlineStr">
        <is>
          <t>Done</t>
        </is>
      </c>
      <c r="K7" s="5" t="inlineStr">
        <is>
          <t>Merged with CA-2026-003.</t>
        </is>
      </c>
    </row>
    <row r="8">
      <c r="A8" s="5" t="inlineStr">
        <is>
          <t>OFI-2026-04</t>
        </is>
      </c>
      <c r="B8" s="10" t="n">
        <v>46163</v>
      </c>
      <c r="C8" s="5" t="inlineStr">
        <is>
          <t>Audit AUD-2026-01</t>
        </is>
      </c>
      <c r="D8" s="5" t="inlineStr">
        <is>
          <t>Reuse a standard supplier security questionnaire.</t>
        </is>
      </c>
      <c r="E8" s="5" t="inlineStr">
        <is>
          <t>Less effort per supplier</t>
        </is>
      </c>
      <c r="F8" s="5" t="inlineStr">
        <is>
          <t>27001 5.19–5.21</t>
        </is>
      </c>
      <c r="G8" s="5" t="inlineStr">
        <is>
          <t>[Privacy and Legal Lead]</t>
        </is>
      </c>
      <c r="H8" s="5" t="inlineStr">
        <is>
          <t>Defer</t>
        </is>
      </c>
      <c r="I8" s="10" t="n">
        <v>46477</v>
      </c>
      <c r="J8" s="5" t="inlineStr">
        <is>
          <t>Not started</t>
        </is>
      </c>
      <c r="K8" s="5" t="inlineStr">
        <is>
          <t>Deferred until supplier contract template is updated (CA-2026-004).</t>
        </is>
      </c>
    </row>
    <row r="9">
      <c r="A9" s="5" t="inlineStr">
        <is>
          <t>OFI-2026-05</t>
        </is>
      </c>
      <c r="B9" s="10" t="n">
        <v>46284</v>
      </c>
      <c r="C9" s="5" t="inlineStr">
        <is>
          <t>Audit AUD-2026-02</t>
        </is>
      </c>
      <c r="D9" s="5" t="inlineStr">
        <is>
          <t>ArtistMatch fairness metric is reviewed monthly but not automatically alerted.</t>
        </is>
      </c>
      <c r="E9" s="5" t="inlineStr">
        <is>
          <t>Detect fairness drift within days, not weeks</t>
        </is>
      </c>
      <c r="F9" s="5" t="inlineStr">
        <is>
          <t>42001 A.6.2.6</t>
        </is>
      </c>
      <c r="G9" s="5" t="inlineStr">
        <is>
          <t>[Head of AI]</t>
        </is>
      </c>
      <c r="H9" s="5" t="inlineStr">
        <is>
          <t>Adopt</t>
        </is>
      </c>
      <c r="I9" s="10" t="n">
        <v>46371</v>
      </c>
      <c r="J9" s="5" t="inlineStr">
        <is>
          <t>In progress</t>
        </is>
      </c>
      <c r="K9" s="5" t="inlineStr">
        <is>
          <t>Daily metric with alert below 0.8 to #trust-report; also supports OBJ-06.</t>
        </is>
      </c>
    </row>
    <row r="10">
      <c r="A10" s="5" t="inlineStr">
        <is>
          <t>IMP-2026-01</t>
        </is>
      </c>
      <c r="B10" s="10" t="n">
        <v>46191</v>
      </c>
      <c r="C10" s="5" t="inlineStr">
        <is>
          <t>Tabletop BC-TT-2026-02</t>
        </is>
      </c>
      <c r="D10" s="5" t="inlineStr">
        <is>
          <t>Two-person rule for DNS failover written into the runbook.</t>
        </is>
      </c>
      <c r="E10" s="5" t="inlineStr">
        <is>
          <t>Avoid false or missed failover</t>
        </is>
      </c>
      <c r="F10" s="5" t="inlineStr">
        <is>
          <t>27001 5.30</t>
        </is>
      </c>
      <c r="G10" s="5" t="inlineStr">
        <is>
          <t>[Platform Engineer]</t>
        </is>
      </c>
      <c r="H10" s="5" t="inlineStr">
        <is>
          <t>Adopt</t>
        </is>
      </c>
      <c r="I10" s="10" t="n">
        <v>46218</v>
      </c>
      <c r="J10" s="5" t="inlineStr">
        <is>
          <t>Done</t>
        </is>
      </c>
      <c r="K10" s="5" t="inlineStr"/>
    </row>
    <row r="11">
      <c r="A11" s="5" t="inlineStr">
        <is>
          <t>IMP-2026-02</t>
        </is>
      </c>
      <c r="B11" s="10" t="n">
        <v>46191</v>
      </c>
      <c r="C11" s="5" t="inlineStr">
        <is>
          <t>Tabletop BC-TT-2026-02</t>
        </is>
      </c>
      <c r="D11" s="5" t="inlineStr">
        <is>
          <t>Status page reachable through a break-glass account when single sign-on is down.</t>
        </is>
      </c>
      <c r="E11" s="5" t="inlineStr">
        <is>
          <t>Customer communication during outage</t>
        </is>
      </c>
      <c r="F11" s="5" t="inlineStr">
        <is>
          <t>27001 5.29, 5.30</t>
        </is>
      </c>
      <c r="G11" s="5" t="inlineStr">
        <is>
          <t>[Platform Engineer]</t>
        </is>
      </c>
      <c r="H11" s="5" t="inlineStr">
        <is>
          <t>Adopt</t>
        </is>
      </c>
      <c r="I11" s="10" t="n">
        <v>46218</v>
      </c>
      <c r="J11" s="5" t="inlineStr">
        <is>
          <t>Done</t>
        </is>
      </c>
      <c r="K11" s="5" t="inlineStr"/>
    </row>
    <row r="12">
      <c r="A12" s="5" t="inlineStr">
        <is>
          <t>IMP-2026-03</t>
        </is>
      </c>
      <c r="B12" s="10" t="n">
        <v>46191</v>
      </c>
      <c r="C12" s="5" t="inlineStr">
        <is>
          <t>Tabletop BC-TT-2026-02</t>
        </is>
      </c>
      <c r="D12" s="5" t="inlineStr">
        <is>
          <t>Test the ScriptMate alternative model provider twice a year.</t>
        </is>
      </c>
      <c r="E12" s="5" t="inlineStr">
        <is>
          <t>Proven AI fallback</t>
        </is>
      </c>
      <c r="F12" s="5" t="inlineStr">
        <is>
          <t>27001 5.30 / 42001 A.4.5</t>
        </is>
      </c>
      <c r="G12" s="5" t="inlineStr">
        <is>
          <t>[Head of AI]</t>
        </is>
      </c>
      <c r="H12" s="5" t="inlineStr">
        <is>
          <t>Adopt</t>
        </is>
      </c>
      <c r="I12" s="10" t="n">
        <v>46265</v>
      </c>
      <c r="J12" s="5" t="inlineStr">
        <is>
          <t>Done</t>
        </is>
      </c>
      <c r="K12" s="5" t="inlineStr">
        <is>
          <t>First switch test 2026-08-20: 40 minutes, evaluation set passed.</t>
        </is>
      </c>
    </row>
    <row r="13">
      <c r="A13" s="5" t="inlineStr">
        <is>
          <t>IMP-2026-04</t>
        </is>
      </c>
      <c r="B13" s="10" t="n">
        <v>46290</v>
      </c>
      <c r="C13" s="5" t="inlineStr">
        <is>
          <t>Incident INC-2026-009</t>
        </is>
      </c>
      <c r="D13" s="5" t="inlineStr">
        <is>
          <t>Single opt-out form feeding the consent ledger with an ageing alert at day 7.</t>
        </is>
      </c>
      <c r="E13" s="5" t="inlineStr">
        <is>
          <t>Meets OBJ-03 14-day target reliably</t>
        </is>
      </c>
      <c r="F13" s="5" t="inlineStr">
        <is>
          <t>42001 A.7.3, A.7.5</t>
        </is>
      </c>
      <c r="G13" s="5" t="inlineStr">
        <is>
          <t>[Data and ML Lead]</t>
        </is>
      </c>
      <c r="H13" s="5" t="inlineStr">
        <is>
          <t>Adopt</t>
        </is>
      </c>
      <c r="I13" s="10" t="n">
        <v>46326</v>
      </c>
      <c r="J13" s="5" t="inlineStr">
        <is>
          <t>In progress</t>
        </is>
      </c>
      <c r="K13" s="5" t="inlineStr"/>
    </row>
    <row r="14">
      <c r="A14" s="5" t="inlineStr">
        <is>
          <t>IMP-2026-05</t>
        </is>
      </c>
      <c r="B14" s="10" t="n">
        <v>46260</v>
      </c>
      <c r="C14" s="5" t="inlineStr">
        <is>
          <t>Incident INC-2026-007 review</t>
        </is>
      </c>
      <c r="D14" s="5" t="inlineStr">
        <is>
          <t>Evaluate a second moderation vendor to run in parallel with SafeFrame on a sample of traffic.</t>
        </is>
      </c>
      <c r="E14" s="5" t="inlineStr">
        <is>
          <t>Independent check on a critical AI supplier</t>
        </is>
      </c>
      <c r="F14" s="5" t="inlineStr">
        <is>
          <t>42001 A.10.3 / 27001 5.22</t>
        </is>
      </c>
      <c r="G14" s="5" t="inlineStr">
        <is>
          <t>[Creative Director]</t>
        </is>
      </c>
      <c r="H14" s="5" t="inlineStr">
        <is>
          <t>Adopt</t>
        </is>
      </c>
      <c r="I14" s="10" t="n">
        <v>46418</v>
      </c>
      <c r="J14" s="5" t="inlineStr">
        <is>
          <t>In progress</t>
        </is>
      </c>
      <c r="K14" s="5" t="inlineStr">
        <is>
          <t>Linked to RSK-AI-005.</t>
        </is>
      </c>
    </row>
    <row r="15">
      <c r="A15" s="11" t="inlineStr">
        <is>
          <t>[IMP-YYYY-NN]</t>
        </is>
      </c>
      <c r="B15" s="11" t="inlineStr">
        <is>
          <t>[date]</t>
        </is>
      </c>
      <c r="C15" s="11" t="inlineStr">
        <is>
          <t>[source]</t>
        </is>
      </c>
      <c r="D15" s="11" t="inlineStr">
        <is>
          <t>[idea]</t>
        </is>
      </c>
      <c r="E15" s="11" t="inlineStr">
        <is>
          <t>[benefit]</t>
        </is>
      </c>
      <c r="F15" s="11" t="inlineStr">
        <is>
          <t>[clause / control]</t>
        </is>
      </c>
      <c r="G15" s="11" t="inlineStr">
        <is>
          <t>[owner]</t>
        </is>
      </c>
      <c r="H15" s="11" t="inlineStr">
        <is>
          <t>[decision]</t>
        </is>
      </c>
      <c r="I15" s="11" t="inlineStr">
        <is>
          <t>[due]</t>
        </is>
      </c>
      <c r="J15" s="5" t="inlineStr">
        <is>
          <t>Not started</t>
        </is>
      </c>
      <c r="K15" s="5" t="inlineStr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</sheetData>
  <autoFilter ref="A4:K45"/>
  <mergeCells count="1">
    <mergeCell ref="A2:K2"/>
  </mergeCells>
  <conditionalFormatting sqref="J5:J45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2">
    <dataValidation sqref="H5:H45" showDropDown="0" showInputMessage="0" showErrorMessage="0" allowBlank="1" errorTitle="Invalid value" error="Pick a value from the list." type="list">
      <formula1>"Adopt,Defer,Reject"</formula1>
    </dataValidation>
    <dataValidation sqref="J5:J45" showDropDown="0" showInputMessage="0" showErrorMessage="0" allowBlank="1" errorTitle="Invalid value" error="Pick a value from the list." type="list">
      <formula1>"Not started,In progress,Done"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45" customWidth="1" min="4" max="4"/>
    <col width="12" customWidth="1" min="5" max="5"/>
    <col width="11" customWidth="1" min="6" max="6"/>
    <col width="26" customWidth="1" min="7" max="7"/>
    <col width="16" customWidth="1" min="8" max="8"/>
    <col width="45" customWidth="1" min="9" max="9"/>
    <col width="30" customWidth="1" min="10" max="10"/>
  </cols>
  <sheetData>
    <row r="1">
      <c r="A1" s="8" t="inlineStr">
        <is>
          <t>Effectiveness checks of corrective actions</t>
        </is>
      </c>
    </row>
    <row r="2" ht="30" customHeight="1">
      <c r="A2" s="3" t="inlineStr">
        <is>
          <t>Defined when the action is planned; done by someone not responsible for the action. A result other than 'Effective' keeps the NC open or raises a follow-up.</t>
        </is>
      </c>
    </row>
    <row r="4" ht="32" customHeight="1">
      <c r="A4" s="9" t="inlineStr">
        <is>
          <t>Check ID</t>
        </is>
      </c>
      <c r="B4" s="9" t="inlineStr">
        <is>
          <t>CA ID</t>
        </is>
      </c>
      <c r="C4" s="9" t="inlineStr">
        <is>
          <t>NC ID</t>
        </is>
      </c>
      <c r="D4" s="9" t="inlineStr">
        <is>
          <t>Success criterion</t>
        </is>
      </c>
      <c r="E4" s="9" t="inlineStr">
        <is>
          <t>Planned date</t>
        </is>
      </c>
      <c r="F4" s="9" t="inlineStr">
        <is>
          <t>Date done</t>
        </is>
      </c>
      <c r="G4" s="9" t="inlineStr">
        <is>
          <t>Checked by</t>
        </is>
      </c>
      <c r="H4" s="9" t="inlineStr">
        <is>
          <t>Result</t>
        </is>
      </c>
      <c r="I4" s="9" t="inlineStr">
        <is>
          <t>Evidence</t>
        </is>
      </c>
      <c r="J4" s="9" t="inlineStr">
        <is>
          <t>Follow-up</t>
        </is>
      </c>
    </row>
    <row r="5">
      <c r="A5" s="5" t="inlineStr">
        <is>
          <t>EC-01</t>
        </is>
      </c>
      <c r="B5" s="5" t="inlineStr">
        <is>
          <t>CA-2026-001</t>
        </is>
      </c>
      <c r="C5" s="5" t="inlineStr">
        <is>
          <t>NC-2026-001</t>
        </is>
      </c>
      <c r="D5" s="5" t="inlineStr">
        <is>
          <t>Q2 access review done on time with evidence; Q3 review raised on schedule</t>
        </is>
      </c>
      <c r="E5" s="10" t="n">
        <v>46282</v>
      </c>
      <c r="F5" s="10" t="n">
        <v>46282</v>
      </c>
      <c r="G5" s="5" t="inlineStr">
        <is>
          <t>Contracted auditor (AUD-2026-02)</t>
        </is>
      </c>
      <c r="H5" s="5" t="inlineStr">
        <is>
          <t>Effective</t>
        </is>
      </c>
      <c r="I5" s="5" t="inlineStr">
        <is>
          <t>Q2 ticket closed 2026-07-08 with export of reviewed roles; Q3 ticket opened automatically 2026-09-15.</t>
        </is>
      </c>
      <c r="J5" s="5" t="inlineStr">
        <is>
          <t>Close NC-2026-001</t>
        </is>
      </c>
    </row>
    <row r="6">
      <c r="A6" s="5" t="inlineStr">
        <is>
          <t>EC-02</t>
        </is>
      </c>
      <c r="B6" s="5" t="inlineStr">
        <is>
          <t>CA-2026-002</t>
        </is>
      </c>
      <c r="C6" s="5" t="inlineStr">
        <is>
          <t>NC-2026-002</t>
        </is>
      </c>
      <c r="D6" s="5" t="inlineStr">
        <is>
          <t>Monthly fairness report produced June–September and acted on</t>
        </is>
      </c>
      <c r="E6" s="10" t="n">
        <v>46282</v>
      </c>
      <c r="F6" s="10" t="n">
        <v>46282</v>
      </c>
      <c r="G6" s="5" t="inlineStr">
        <is>
          <t>Contracted auditor (AUD-2026-02)</t>
        </is>
      </c>
      <c r="H6" s="5" t="inlineStr">
        <is>
          <t>Partially effective</t>
        </is>
      </c>
      <c r="I6" s="5" t="inlineStr">
        <is>
          <t>Reports produced every month, but the July dip to 0.76 lasted 9 days before review.</t>
        </is>
      </c>
      <c r="J6" s="5" t="inlineStr">
        <is>
          <t>Raised OFI-2026-05 (automatic alert)</t>
        </is>
      </c>
    </row>
    <row r="7">
      <c r="A7" s="5" t="inlineStr">
        <is>
          <t>EC-03</t>
        </is>
      </c>
      <c r="B7" s="5" t="inlineStr">
        <is>
          <t>CA-2026-003</t>
        </is>
      </c>
      <c r="C7" s="5" t="inlineStr">
        <is>
          <t>NC-2026-002</t>
        </is>
      </c>
      <c r="D7" s="5" t="inlineStr">
        <is>
          <t>Release checklist item used for every AI release since July</t>
        </is>
      </c>
      <c r="E7" s="10" t="n">
        <v>46282</v>
      </c>
      <c r="F7" s="10" t="n">
        <v>46282</v>
      </c>
      <c r="G7" s="5" t="inlineStr">
        <is>
          <t>Contracted auditor (AUD-2026-02)</t>
        </is>
      </c>
      <c r="H7" s="5" t="inlineStr">
        <is>
          <t>Effective</t>
        </is>
      </c>
      <c r="I7" s="5" t="inlineStr">
        <is>
          <t>2 of 2 releases since July show the monitoring item ticked with dashboard link.</t>
        </is>
      </c>
      <c r="J7" s="5" t="inlineStr">
        <is>
          <t>Close NC-2026-002</t>
        </is>
      </c>
    </row>
    <row r="8">
      <c r="A8" s="5" t="inlineStr">
        <is>
          <t>EC-04</t>
        </is>
      </c>
      <c r="B8" s="5" t="inlineStr">
        <is>
          <t>CA-2026-004</t>
        </is>
      </c>
      <c r="C8" s="5" t="inlineStr">
        <is>
          <t>NC-2026-003</t>
        </is>
      </c>
      <c r="D8" s="5" t="inlineStr">
        <is>
          <t>Clause signed with SafeFrame and foundation-model supplier; at least one vendor model change notified and assessed before going live</t>
        </is>
      </c>
      <c r="E8" s="10" t="n">
        <v>46418</v>
      </c>
      <c r="F8" s="5" t="n"/>
      <c r="G8" s="5" t="inlineStr">
        <is>
          <t>[Head of AI]</t>
        </is>
      </c>
      <c r="H8" s="5" t="inlineStr">
        <is>
          <t>Pending</t>
        </is>
      </c>
      <c r="I8" s="5" t="inlineStr"/>
      <c r="J8" s="5" t="inlineStr">
        <is>
          <t>Trust Council review of RSK-AI-005 acceptance on result</t>
        </is>
      </c>
    </row>
    <row r="9">
      <c r="A9" s="5" t="inlineStr">
        <is>
          <t>EC-05</t>
        </is>
      </c>
      <c r="B9" s="5" t="inlineStr">
        <is>
          <t>CA-2026-005</t>
        </is>
      </c>
      <c r="C9" s="5" t="inlineStr">
        <is>
          <t>NC-2026-004</t>
        </is>
      </c>
      <c r="D9" s="5" t="inlineStr">
        <is>
          <t>All contractors joining Nov–Dec 2026 complete training within 30 days</t>
        </is>
      </c>
      <c r="E9" s="10" t="n">
        <v>46371</v>
      </c>
      <c r="F9" s="5" t="n"/>
      <c r="G9" s="5" t="inlineStr">
        <is>
          <t>Contracted auditor (AUD-2026-04)</t>
        </is>
      </c>
      <c r="H9" s="5" t="inlineStr">
        <is>
          <t>Pending</t>
        </is>
      </c>
      <c r="I9" s="5" t="inlineStr"/>
      <c r="J9" s="5" t="inlineStr"/>
    </row>
    <row r="10">
      <c r="A10" s="11" t="inlineStr">
        <is>
          <t>[EC-NN]</t>
        </is>
      </c>
      <c r="B10" s="11" t="inlineStr">
        <is>
          <t>[CA ID]</t>
        </is>
      </c>
      <c r="C10" s="11" t="inlineStr">
        <is>
          <t>[NC ID]</t>
        </is>
      </c>
      <c r="D10" s="11" t="inlineStr">
        <is>
          <t>[what evidence will show it worked]</t>
        </is>
      </c>
      <c r="E10" s="11" t="inlineStr">
        <is>
          <t>[date]</t>
        </is>
      </c>
      <c r="F10" s="5" t="inlineStr"/>
      <c r="G10" s="11" t="inlineStr">
        <is>
          <t>[verifier]</t>
        </is>
      </c>
      <c r="H10" s="5" t="inlineStr">
        <is>
          <t>Pending</t>
        </is>
      </c>
      <c r="I10" s="5" t="inlineStr"/>
      <c r="J10" s="5" t="inlineStr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</sheetData>
  <autoFilter ref="A4:J40"/>
  <mergeCells count="1">
    <mergeCell ref="A2:J2"/>
  </mergeCells>
  <dataValidations count="1">
    <dataValidation sqref="H5:H40" showDropDown="0" showInputMessage="0" showErrorMessage="0" allowBlank="1" errorTitle="Invalid value" error="Pick a value from the list." type="list">
      <formula1>"Effective,Partially effective,Not effective,Pending"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Nonconformity, Corrective Action and Improvement Log</dc:title>
  <dcterms:created xmlns:dcterms="http://purl.org/dc/terms/" xmlns:xsi="http://www.w3.org/2001/XMLSchema-instance" xsi:type="dcterms:W3CDTF">2026-10-04T18:41:17Z</dcterms:created>
  <dcterms:modified xmlns:dcterms="http://purl.org/dc/terms/" xmlns:xsi="http://www.w3.org/2001/XMLSchema-instance" xsi:type="dcterms:W3CDTF">2026-10-04T18:41:17Z</dcterms:modified>
  <cp:lastModifiedBy>Prof. Dr. Mohamed Fawzi Elgendi (Fawzooz)</cp:lastModifiedBy>
</cp:coreProperties>
</file>