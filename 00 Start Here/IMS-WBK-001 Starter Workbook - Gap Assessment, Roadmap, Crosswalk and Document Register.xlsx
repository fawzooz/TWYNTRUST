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p Assessment" sheetId="2" state="visible" r:id="rId2"/>
    <sheet xmlns:r="http://schemas.openxmlformats.org/officeDocument/2006/relationships" name="Gap Summary" sheetId="3" state="visible" r:id="rId3"/>
    <sheet xmlns:r="http://schemas.openxmlformats.org/officeDocument/2006/relationships" name="Roadmap" sheetId="4" state="visible" r:id="rId4"/>
    <sheet xmlns:r="http://schemas.openxmlformats.org/officeDocument/2006/relationships" name="Crosswalk" sheetId="5" state="visible" r:id="rId5"/>
    <sheet xmlns:r="http://schemas.openxmlformats.org/officeDocument/2006/relationships" name="Document Register" sheetId="6" state="visible" r:id="rId6"/>
  </sheets>
  <definedNames>
    <definedName name="_xlnm._FilterDatabase" localSheetId="1" hidden="1">'Gap Assessment'!$A$4:$H$48</definedName>
    <definedName name="_xlnm.Print_Titles" localSheetId="1">'Gap Assessment'!$4:$4</definedName>
    <definedName name="_xlnm._FilterDatabase" localSheetId="2" hidden="1">'Gap Summary'!$A$4:$E$13</definedName>
    <definedName name="_xlnm.Print_Titles" localSheetId="2">'Gap Summary'!$4:$4</definedName>
    <definedName name="_xlnm._FilterDatabase" localSheetId="3" hidden="1">'Roadmap'!$A$4:$G$36</definedName>
    <definedName name="_xlnm.Print_Titles" localSheetId="3">'Roadmap'!$4:$4</definedName>
    <definedName name="_xlnm._FilterDatabase" localSheetId="4" hidden="1">'Crosswalk'!$A$4:$E$31</definedName>
    <definedName name="_xlnm.Print_Titles" localSheetId="4">'Crosswalk'!$4:$4</definedName>
    <definedName name="_xlnm._FilterDatabase" localSheetId="5" hidden="1">'Document Register'!$A$4:$J$48</definedName>
    <definedName name="_xlnm.Print_Titles" localSheetId="5">'Document Register'!$4:$4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766E"/>
      <sz val="10"/>
    </font>
    <font>
      <b val="1"/>
      <color rgb="00142B4C"/>
      <sz val="18"/>
    </font>
    <font>
      <b val="1"/>
    </font>
    <font>
      <b val="1"/>
      <color rgb="00142B4C"/>
      <sz val="12"/>
    </font>
    <font>
      <b val="1"/>
      <color rgb="00142B4C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42B4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TWYNTRUST FRAMEWORK · Quillfen Studio</t>
        </is>
      </c>
    </row>
    <row r="2">
      <c r="A2" s="2" t="inlineStr">
        <is>
          <t>Starter Workbook — Gap Assessment, Roadmap, Crosswalk and Document Register</t>
        </is>
      </c>
    </row>
    <row r="3" ht="48" customHeight="1">
      <c r="A3" s="3" t="inlineStr">
        <is>
          <t>The first file to open. Check where you stand against both standards, plan your route to certification, see how ISO/IEC 27001 and ISO/IEC 42001 line up clause by clause, and keep the list of every controlled document. Filled in for the sample company Quillfen Studio.</t>
        </is>
      </c>
    </row>
    <row r="5">
      <c r="A5" s="4" t="inlineStr">
        <is>
          <t>Document ID</t>
        </is>
      </c>
      <c r="B5" s="5" t="inlineStr">
        <is>
          <t>IMS-WBK-001</t>
        </is>
      </c>
    </row>
    <row r="6">
      <c r="A6" s="4" t="inlineStr">
        <is>
          <t>Version</t>
        </is>
      </c>
      <c r="B6" s="5" t="inlineStr">
        <is>
          <t>2.0</t>
        </is>
      </c>
    </row>
    <row r="7">
      <c r="A7" s="4" t="inlineStr">
        <is>
          <t>Prepared by</t>
        </is>
      </c>
      <c r="B7" s="5" t="inlineStr">
        <is>
          <t>Prof. Dr. Mohamed Fawzi Elgendi (Fawzooz), Fawzooz.ai</t>
        </is>
      </c>
    </row>
    <row r="8">
      <c r="A8" s="4" t="inlineStr">
        <is>
          <t>License</t>
        </is>
      </c>
      <c r="B8" s="5" t="inlineStr">
        <is>
          <t>CC BY 4.0 — free to share and adapt, including commercially, with credit to Prof. Dr. Mohamed Fawzi Elgendi (Fawzooz), Fawzooz.ai · creativecommons.org/licenses/by/4.0</t>
        </is>
      </c>
    </row>
    <row r="9">
      <c r="A9" s="4" t="inlineStr">
        <is>
          <t>Classification</t>
        </is>
      </c>
      <c r="B9" s="5" t="inlineStr">
        <is>
          <t>Internal</t>
        </is>
      </c>
    </row>
    <row r="10">
      <c r="A10" s="4" t="inlineStr">
        <is>
          <t>Owner</t>
        </is>
      </c>
      <c r="B10" s="5" t="inlineStr">
        <is>
          <t>[Compliance Coordinator]</t>
        </is>
      </c>
    </row>
    <row r="11">
      <c r="A11" s="4" t="inlineStr">
        <is>
          <t>Approved by</t>
        </is>
      </c>
      <c r="B11" s="5" t="inlineStr">
        <is>
          <t>[CEO] (Trust Council)</t>
        </is>
      </c>
    </row>
    <row r="12">
      <c r="A12" s="4" t="inlineStr">
        <is>
          <t>Effective date</t>
        </is>
      </c>
      <c r="B12" s="5" t="inlineStr">
        <is>
          <t>2026-11-01</t>
        </is>
      </c>
    </row>
    <row r="13">
      <c r="A13" s="4" t="inlineStr">
        <is>
          <t>Kit folder</t>
        </is>
      </c>
      <c r="B13" s="5" t="inlineStr">
        <is>
          <t>00 Start Here</t>
        </is>
      </c>
    </row>
    <row r="14">
      <c r="A14" s="4" t="inlineStr">
        <is>
          <t>ISO/IEC 27001:2022</t>
        </is>
      </c>
      <c r="B14" s="5" t="inlineStr">
        <is>
          <t>Clauses 4–10 (gap assessment); 7.5 (document register)</t>
        </is>
      </c>
    </row>
    <row r="15">
      <c r="A15" s="4" t="inlineStr">
        <is>
          <t>ISO/IEC 42001:2023</t>
        </is>
      </c>
      <c r="B15" s="5" t="inlineStr">
        <is>
          <t>Clauses 4–10 (gap assessment); 7.5 (document register)</t>
        </is>
      </c>
    </row>
    <row r="17">
      <c r="A17" s="6" t="inlineStr">
        <is>
          <t>How to use this workbook</t>
        </is>
      </c>
    </row>
    <row r="18" ht="30" customHeight="1">
      <c r="A18" t="inlineStr">
        <is>
          <t>•</t>
        </is>
      </c>
      <c r="B18" s="3" t="inlineStr">
        <is>
          <t>This is a SAMPLE filled in for the example company Quillfen Studio. Keep the structure, replace the example rows with your own.</t>
        </is>
      </c>
    </row>
    <row r="19" ht="15" customHeight="1">
      <c r="A19" t="inlineStr">
        <is>
          <t>•</t>
        </is>
      </c>
      <c r="B19" s="3" t="inlineStr">
        <is>
          <t>Yellow cells are fill-in fields. Drop-down cells only accept the listed values.</t>
        </is>
      </c>
    </row>
    <row r="20" ht="30" customHeight="1">
      <c r="A20" t="inlineStr">
        <is>
          <t>•</t>
        </is>
      </c>
      <c r="B20" s="3" t="inlineStr">
        <is>
          <t>Cells with formulas (scores, levels, due status) calculate automatically — do not type over them.</t>
        </is>
      </c>
    </row>
    <row r="21" ht="30" customHeight="1">
      <c r="A21" t="inlineStr">
        <is>
          <t>•</t>
        </is>
      </c>
      <c r="B21" s="3" t="inlineStr">
        <is>
          <t>Start with 'Gap Assessment': clear the Status column and answer each question honestly for your organisation.</t>
        </is>
      </c>
    </row>
    <row r="22" ht="30" customHeight="1">
      <c r="A22" t="inlineStr">
        <is>
          <t>•</t>
        </is>
      </c>
      <c r="B22" s="3" t="inlineStr">
        <is>
          <t>Then adapt 'Roadmap' — the 16–20 week plan suits a startup of 20–100 people with one part-time coordinator.</t>
        </is>
      </c>
    </row>
    <row r="23" ht="30" customHeight="1">
      <c r="A23" t="inlineStr">
        <is>
          <t>•</t>
        </is>
      </c>
      <c r="B23" s="3" t="inlineStr">
        <is>
          <t>'Crosswalk' shows why one system can serve both standards: only 6.1.4 and 8.4 are AI-only clauses.</t>
        </is>
      </c>
    </row>
    <row r="25">
      <c r="A25" s="6" t="inlineStr">
        <is>
          <t>Sheets</t>
        </is>
      </c>
    </row>
    <row r="26" ht="30" customHeight="1">
      <c r="A26" s="7" t="inlineStr">
        <is>
          <t>Gap Assessment</t>
        </is>
      </c>
      <c r="B26" s="3" t="inlineStr">
        <is>
          <t>Status: Done (2 points) · Partial (1) · Not started (0). The score and summary update automatically. 'Kit document' tells you which template helps close the gap.</t>
        </is>
      </c>
    </row>
    <row r="27" ht="15" customHeight="1">
      <c r="A27" s="7" t="inlineStr">
        <is>
          <t>Gap Summary</t>
        </is>
      </c>
      <c r="B27" s="3" t="inlineStr">
        <is>
          <t>Percentage of maximum score per clause group.</t>
        </is>
      </c>
    </row>
    <row r="28" ht="30" customHeight="1">
      <c r="A28" s="7" t="inlineStr">
        <is>
          <t>Roadmap</t>
        </is>
      </c>
      <c r="B28" s="3" t="inlineStr">
        <is>
          <t>Weeks are counted from kick-off. Strands follow the TWYNTRUST framework: 1 Ground, 2 Gauge, 3 Equip, 4 Operate, 5 Prove and improve.</t>
        </is>
      </c>
    </row>
    <row r="29" ht="30" customHeight="1">
      <c r="A29" s="7" t="inlineStr">
        <is>
          <t>Crosswalk</t>
        </is>
      </c>
      <c r="B29" s="3" t="inlineStr">
        <is>
          <t>Both standards use the same harmonised structure, so one process can meet the same clause in both. Clause titles are short descriptions, not ISO text.</t>
        </is>
      </c>
    </row>
    <row r="30" ht="30" customHeight="1">
      <c r="A30" s="7" t="inlineStr">
        <is>
          <t>Document Register</t>
        </is>
      </c>
      <c r="B30" s="3" t="inlineStr">
        <is>
          <t>Every controlled document and register in the system. Review status turns 'Overdue' after the next-review date.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0" customWidth="1" min="3" max="3"/>
    <col width="22" customWidth="1" min="4" max="4"/>
    <col width="13" customWidth="1" min="5" max="5"/>
    <col width="8" customWidth="1" min="6" max="6"/>
    <col width="34" customWidth="1" min="7" max="7"/>
    <col width="16" customWidth="1" min="8" max="8"/>
  </cols>
  <sheetData>
    <row r="1">
      <c r="A1" s="8" t="inlineStr">
        <is>
          <t>Readiness and gap assessment — both standards</t>
        </is>
      </c>
    </row>
    <row r="2" ht="30" customHeight="1">
      <c r="A2" s="3" t="inlineStr">
        <is>
          <t>Status: Done (2 points) · Partial (1) · Not started (0). The score and summary update automatically. 'Kit document' tells you which template helps close the gap.</t>
        </is>
      </c>
    </row>
    <row r="4" ht="32" customHeight="1">
      <c r="A4" s="9" t="inlineStr">
        <is>
          <t>Clause</t>
        </is>
      </c>
      <c r="B4" s="9" t="inlineStr">
        <is>
          <t>Applies to</t>
        </is>
      </c>
      <c r="C4" s="9" t="inlineStr">
        <is>
          <t>Question</t>
        </is>
      </c>
      <c r="D4" s="9" t="inlineStr">
        <is>
          <t>Kit document</t>
        </is>
      </c>
      <c r="E4" s="9" t="inlineStr">
        <is>
          <t>Status</t>
        </is>
      </c>
      <c r="F4" s="9" t="inlineStr">
        <is>
          <t>Score</t>
        </is>
      </c>
      <c r="G4" s="9" t="inlineStr">
        <is>
          <t>Notes / evidence</t>
        </is>
      </c>
      <c r="H4" s="9" t="inlineStr">
        <is>
          <t>Action owner</t>
        </is>
      </c>
    </row>
    <row r="5">
      <c r="A5" s="5" t="inlineStr">
        <is>
          <t>4.1</t>
        </is>
      </c>
      <c r="B5" s="5" t="inlineStr">
        <is>
          <t>Both</t>
        </is>
      </c>
      <c r="C5" s="5" t="inlineStr">
        <is>
          <t>Have you written down the internal and external issues that affect your ability to protect information and use AI responsibly?</t>
        </is>
      </c>
      <c r="D5" s="5" t="inlineStr">
        <is>
          <t>IMS-REG-001</t>
        </is>
      </c>
      <c r="E5" s="5" t="inlineStr">
        <is>
          <t>Done</t>
        </is>
      </c>
      <c r="F5" s="5">
        <f>IF(E5="Done",2,IF(E5="Partial",1,IF(E5="","",0)))</f>
        <v/>
      </c>
      <c r="G5" s="5" t="inlineStr">
        <is>
          <t>Issues sheet reviewed Oct 2026</t>
        </is>
      </c>
      <c r="H5" s="5" t="inlineStr"/>
    </row>
    <row r="6">
      <c r="A6" s="5" t="inlineStr">
        <is>
          <t>4.1</t>
        </is>
      </c>
      <c r="B6" s="5" t="inlineStr">
        <is>
          <t>42001 only</t>
        </is>
      </c>
      <c r="C6" s="5" t="inlineStr">
        <is>
          <t>Have you decided your role for each AI system (provider, producer, user/customer, partner)?</t>
        </is>
      </c>
      <c r="D6" s="5" t="inlineStr">
        <is>
          <t>IMS-REG-001</t>
        </is>
      </c>
      <c r="E6" s="5" t="inlineStr">
        <is>
          <t>Done</t>
        </is>
      </c>
      <c r="F6" s="5">
        <f>IF(E6="Done",2,IF(E6="Partial",1,IF(E6="","",0)))</f>
        <v/>
      </c>
      <c r="G6" s="5" t="inlineStr">
        <is>
          <t>AI Roles sheet</t>
        </is>
      </c>
      <c r="H6" s="5" t="inlineStr"/>
    </row>
    <row r="7">
      <c r="A7" s="5" t="inlineStr">
        <is>
          <t>4.1</t>
        </is>
      </c>
      <c r="B7" s="5" t="inlineStr">
        <is>
          <t>Both</t>
        </is>
      </c>
      <c r="C7" s="5" t="inlineStr">
        <is>
          <t>Have you considered whether climate change is a relevant issue?</t>
        </is>
      </c>
      <c r="D7" s="5" t="inlineStr">
        <is>
          <t>IMS-REG-001</t>
        </is>
      </c>
      <c r="E7" s="5" t="inlineStr">
        <is>
          <t>Done</t>
        </is>
      </c>
      <c r="F7" s="5">
        <f>IF(E7="Done",2,IF(E7="Partial",1,IF(E7="","",0)))</f>
        <v/>
      </c>
      <c r="G7" s="5" t="inlineStr">
        <is>
          <t>Low relevance; GPU energy tracked</t>
        </is>
      </c>
      <c r="H7" s="5" t="inlineStr"/>
    </row>
    <row r="8">
      <c r="A8" s="5" t="inlineStr">
        <is>
          <t>4.2</t>
        </is>
      </c>
      <c r="B8" s="5" t="inlineStr">
        <is>
          <t>Both</t>
        </is>
      </c>
      <c r="C8" s="5" t="inlineStr">
        <is>
          <t>Do you know your interested parties and which of their requirements you will meet (incl. legal and contractual)?</t>
        </is>
      </c>
      <c r="D8" s="5" t="inlineStr">
        <is>
          <t>IMS-REG-001</t>
        </is>
      </c>
      <c r="E8" s="5" t="inlineStr">
        <is>
          <t>Done</t>
        </is>
      </c>
      <c r="F8" s="5">
        <f>IF(E8="Done",2,IF(E8="Partial",1,IF(E8="","",0)))</f>
        <v/>
      </c>
      <c r="G8" s="5" t="inlineStr"/>
      <c r="H8" s="5" t="inlineStr"/>
    </row>
    <row r="9">
      <c r="A9" s="5" t="inlineStr">
        <is>
          <t>4.3</t>
        </is>
      </c>
      <c r="B9" s="5" t="inlineStr">
        <is>
          <t>Both</t>
        </is>
      </c>
      <c r="C9" s="5" t="inlineStr">
        <is>
          <t>Is there a written scope with boundaries, interfaces and dependencies — and are any exclusions justified?</t>
        </is>
      </c>
      <c r="D9" s="5" t="inlineStr">
        <is>
          <t>IMS-REG-001</t>
        </is>
      </c>
      <c r="E9" s="5" t="inlineStr">
        <is>
          <t>Done</t>
        </is>
      </c>
      <c r="F9" s="5">
        <f>IF(E9="Done",2,IF(E9="Partial",1,IF(E9="","",0)))</f>
        <v/>
      </c>
      <c r="G9" s="5" t="inlineStr">
        <is>
          <t>One scope for both standards</t>
        </is>
      </c>
      <c r="H9" s="5" t="inlineStr"/>
    </row>
    <row r="10">
      <c r="A10" s="5" t="inlineStr">
        <is>
          <t>4.4</t>
        </is>
      </c>
      <c r="B10" s="5" t="inlineStr">
        <is>
          <t>Both</t>
        </is>
      </c>
      <c r="C10" s="5" t="inlineStr">
        <is>
          <t>Is the management system defined as a set of processes that interact (who, what, inputs, outputs)?</t>
        </is>
      </c>
      <c r="D10" s="5" t="inlineStr">
        <is>
          <t>IMS-MAN-001</t>
        </is>
      </c>
      <c r="E10" s="5" t="inlineStr">
        <is>
          <t>Done</t>
        </is>
      </c>
      <c r="F10" s="5">
        <f>IF(E10="Done",2,IF(E10="Partial",1,IF(E10="","",0)))</f>
        <v/>
      </c>
      <c r="G10" s="5" t="inlineStr"/>
      <c r="H10" s="5" t="inlineStr"/>
    </row>
    <row r="11">
      <c r="A11" s="5" t="inlineStr">
        <is>
          <t>5.1</t>
        </is>
      </c>
      <c r="B11" s="5" t="inlineStr">
        <is>
          <t>Both</t>
        </is>
      </c>
      <c r="C11" s="5" t="inlineStr">
        <is>
          <t>Can top management show how they lead the system (resources, reviews, communication)?</t>
        </is>
      </c>
      <c r="D11" s="5" t="inlineStr">
        <is>
          <t>IMS-GOV-001</t>
        </is>
      </c>
      <c r="E11" s="5" t="inlineStr">
        <is>
          <t>Done</t>
        </is>
      </c>
      <c r="F11" s="5">
        <f>IF(E11="Done",2,IF(E11="Partial",1,IF(E11="","",0)))</f>
        <v/>
      </c>
      <c r="G11" s="5" t="inlineStr">
        <is>
          <t>Trust Council minutes</t>
        </is>
      </c>
      <c r="H11" s="5" t="inlineStr"/>
    </row>
    <row r="12">
      <c r="A12" s="5" t="inlineStr">
        <is>
          <t>5.2</t>
        </is>
      </c>
      <c r="B12" s="5" t="inlineStr">
        <is>
          <t>Both</t>
        </is>
      </c>
      <c r="C12" s="5" t="inlineStr">
        <is>
          <t>Is there an approved policy covering information security and AI, with the required commitments?</t>
        </is>
      </c>
      <c r="D12" s="5" t="inlineStr">
        <is>
          <t>IMS-POL-001</t>
        </is>
      </c>
      <c r="E12" s="5" t="inlineStr">
        <is>
          <t>Done</t>
        </is>
      </c>
      <c r="F12" s="5">
        <f>IF(E12="Done",2,IF(E12="Partial",1,IF(E12="","",0)))</f>
        <v/>
      </c>
      <c r="G12" s="5" t="inlineStr"/>
      <c r="H12" s="5" t="inlineStr"/>
    </row>
    <row r="13">
      <c r="A13" s="5" t="inlineStr">
        <is>
          <t>5.3</t>
        </is>
      </c>
      <c r="B13" s="5" t="inlineStr">
        <is>
          <t>Both</t>
        </is>
      </c>
      <c r="C13" s="5" t="inlineStr">
        <is>
          <t>Are roles, responsibilities and authorities assigned and communicated (incl. who reports on performance)?</t>
        </is>
      </c>
      <c r="D13" s="5" t="inlineStr">
        <is>
          <t>IMS-GOV-001</t>
        </is>
      </c>
      <c r="E13" s="5" t="inlineStr">
        <is>
          <t>Done</t>
        </is>
      </c>
      <c r="F13" s="5">
        <f>IF(E13="Done",2,IF(E13="Partial",1,IF(E13="","",0)))</f>
        <v/>
      </c>
      <c r="G13" s="5" t="inlineStr"/>
      <c r="H13" s="5" t="inlineStr"/>
    </row>
    <row r="14">
      <c r="A14" s="5" t="inlineStr">
        <is>
          <t>6.1.1</t>
        </is>
      </c>
      <c r="B14" s="5" t="inlineStr">
        <is>
          <t>Both</t>
        </is>
      </c>
      <c r="C14" s="5" t="inlineStr">
        <is>
          <t>Have you planned how to address risks and opportunities to the management system itself?</t>
        </is>
      </c>
      <c r="D14" s="5" t="inlineStr">
        <is>
          <t>IMS-PRO-001</t>
        </is>
      </c>
      <c r="E14" s="5" t="inlineStr">
        <is>
          <t>Done</t>
        </is>
      </c>
      <c r="F14" s="5">
        <f>IF(E14="Done",2,IF(E14="Partial",1,IF(E14="","",0)))</f>
        <v/>
      </c>
      <c r="G14" s="5" t="inlineStr"/>
      <c r="H14" s="5" t="inlineStr"/>
    </row>
    <row r="15">
      <c r="A15" s="5" t="inlineStr">
        <is>
          <t>6.1.2</t>
        </is>
      </c>
      <c r="B15" s="5" t="inlineStr">
        <is>
          <t>Both</t>
        </is>
      </c>
      <c r="C15" s="5" t="inlineStr">
        <is>
          <t>Is there a documented, repeatable risk-assessment method with acceptance criteria — covering both security and AI risks?</t>
        </is>
      </c>
      <c r="D15" s="5" t="inlineStr">
        <is>
          <t>IMS-PRO-001</t>
        </is>
      </c>
      <c r="E15" s="5" t="inlineStr">
        <is>
          <t>Done</t>
        </is>
      </c>
      <c r="F15" s="5">
        <f>IF(E15="Done",2,IF(E15="Partial",1,IF(E15="","",0)))</f>
        <v/>
      </c>
      <c r="G15" s="5" t="inlineStr"/>
      <c r="H15" s="5" t="inlineStr"/>
    </row>
    <row r="16">
      <c r="A16" s="5" t="inlineStr">
        <is>
          <t>6.1.3</t>
        </is>
      </c>
      <c r="B16" s="5" t="inlineStr">
        <is>
          <t>Both</t>
        </is>
      </c>
      <c r="C16" s="5" t="inlineStr">
        <is>
          <t>Is there a risk treatment plan, approved by risk owners, with residual risks accepted?</t>
        </is>
      </c>
      <c r="D16" s="5" t="inlineStr">
        <is>
          <t>IMS-REG-002</t>
        </is>
      </c>
      <c r="E16" s="5" t="inlineStr">
        <is>
          <t>Partial</t>
        </is>
      </c>
      <c r="F16" s="5">
        <f>IF(E16="Done",2,IF(E16="Partial",1,IF(E16="","",0)))</f>
        <v/>
      </c>
      <c r="G16" s="5" t="inlineStr">
        <is>
          <t>RSK-AI-005 accepted with expiry</t>
        </is>
      </c>
      <c r="H16" s="5" t="inlineStr"/>
    </row>
    <row r="17">
      <c r="A17" s="5" t="inlineStr">
        <is>
          <t>6.1.3</t>
        </is>
      </c>
      <c r="B17" s="5" t="inlineStr">
        <is>
          <t>27001 only</t>
        </is>
      </c>
      <c r="C17" s="5" t="inlineStr">
        <is>
          <t>Is the ISO/IEC 27001 Statement of Applicability complete for all 93 Annex A controls?</t>
        </is>
      </c>
      <c r="D17" s="5" t="inlineStr">
        <is>
          <t>IMS-SOA-001</t>
        </is>
      </c>
      <c r="E17" s="5" t="inlineStr">
        <is>
          <t>Done</t>
        </is>
      </c>
      <c r="F17" s="5">
        <f>IF(E17="Done",2,IF(E17="Partial",1,IF(E17="","",0)))</f>
        <v/>
      </c>
      <c r="G17" s="5" t="inlineStr"/>
      <c r="H17" s="5" t="inlineStr"/>
    </row>
    <row r="18">
      <c r="A18" s="5" t="inlineStr">
        <is>
          <t>6.1.3</t>
        </is>
      </c>
      <c r="B18" s="5" t="inlineStr">
        <is>
          <t>42001 only</t>
        </is>
      </c>
      <c r="C18" s="5" t="inlineStr">
        <is>
          <t>Is the ISO/IEC 42001 Statement of Applicability complete for all 38 Annex A controls?</t>
        </is>
      </c>
      <c r="D18" s="5" t="inlineStr">
        <is>
          <t>IMS-SOA-002</t>
        </is>
      </c>
      <c r="E18" s="5" t="inlineStr">
        <is>
          <t>Done</t>
        </is>
      </c>
      <c r="F18" s="5">
        <f>IF(E18="Done",2,IF(E18="Partial",1,IF(E18="","",0)))</f>
        <v/>
      </c>
      <c r="G18" s="5" t="inlineStr"/>
      <c r="H18" s="5" t="inlineStr"/>
    </row>
    <row r="19">
      <c r="A19" s="5" t="inlineStr">
        <is>
          <t>6.1.4</t>
        </is>
      </c>
      <c r="B19" s="5" t="inlineStr">
        <is>
          <t>42001 only</t>
        </is>
      </c>
      <c r="C19" s="5" t="inlineStr">
        <is>
          <t>Is there a process for AI system impact assessments on individuals, groups and society?</t>
        </is>
      </c>
      <c r="D19" s="5" t="inlineStr">
        <is>
          <t>IMS-PRO-002</t>
        </is>
      </c>
      <c r="E19" s="5" t="inlineStr">
        <is>
          <t>Done</t>
        </is>
      </c>
      <c r="F19" s="5">
        <f>IF(E19="Done",2,IF(E19="Partial",1,IF(E19="","",0)))</f>
        <v/>
      </c>
      <c r="G19" s="5" t="inlineStr"/>
      <c r="H19" s="5" t="inlineStr"/>
    </row>
    <row r="20">
      <c r="A20" s="5" t="inlineStr">
        <is>
          <t>6.2</t>
        </is>
      </c>
      <c r="B20" s="5" t="inlineStr">
        <is>
          <t>Both</t>
        </is>
      </c>
      <c r="C20" s="5" t="inlineStr">
        <is>
          <t>Are measurable objectives set, with plans saying what, who, resources, when and how results are evaluated?</t>
        </is>
      </c>
      <c r="D20" s="5" t="inlineStr">
        <is>
          <t>IMS-REG-003</t>
        </is>
      </c>
      <c r="E20" s="5" t="inlineStr">
        <is>
          <t>Done</t>
        </is>
      </c>
      <c r="F20" s="5">
        <f>IF(E20="Done",2,IF(E20="Partial",1,IF(E20="","",0)))</f>
        <v/>
      </c>
      <c r="G20" s="5" t="inlineStr">
        <is>
          <t>OBJ-01 to OBJ-07</t>
        </is>
      </c>
      <c r="H20" s="5" t="inlineStr"/>
    </row>
    <row r="21">
      <c r="A21" s="5" t="inlineStr">
        <is>
          <t>6.3</t>
        </is>
      </c>
      <c r="B21" s="5" t="inlineStr">
        <is>
          <t>Both</t>
        </is>
      </c>
      <c r="C21" s="5" t="inlineStr">
        <is>
          <t>Are changes to the management system planned in a controlled way?</t>
        </is>
      </c>
      <c r="D21" s="5" t="inlineStr">
        <is>
          <t>IMS-MAN-001</t>
        </is>
      </c>
      <c r="E21" s="5" t="inlineStr">
        <is>
          <t>Done</t>
        </is>
      </c>
      <c r="F21" s="5">
        <f>IF(E21="Done",2,IF(E21="Partial",1,IF(E21="","",0)))</f>
        <v/>
      </c>
      <c r="G21" s="5" t="inlineStr"/>
      <c r="H21" s="5" t="inlineStr"/>
    </row>
    <row r="22">
      <c r="A22" s="5" t="inlineStr">
        <is>
          <t>7.1</t>
        </is>
      </c>
      <c r="B22" s="5" t="inlineStr">
        <is>
          <t>Both</t>
        </is>
      </c>
      <c r="C22" s="5" t="inlineStr">
        <is>
          <t>Have you provided the resources (people, budget, tools) the system needs?</t>
        </is>
      </c>
      <c r="D22" s="5" t="inlineStr">
        <is>
          <t>IMS-MAN-001</t>
        </is>
      </c>
      <c r="E22" s="5" t="inlineStr">
        <is>
          <t>Done</t>
        </is>
      </c>
      <c r="F22" s="5">
        <f>IF(E22="Done",2,IF(E22="Partial",1,IF(E22="","",0)))</f>
        <v/>
      </c>
      <c r="G22" s="5" t="inlineStr"/>
      <c r="H22" s="5" t="inlineStr"/>
    </row>
    <row r="23">
      <c r="A23" s="5" t="inlineStr">
        <is>
          <t>7.2</t>
        </is>
      </c>
      <c r="B23" s="5" t="inlineStr">
        <is>
          <t>Both</t>
        </is>
      </c>
      <c r="C23" s="5" t="inlineStr">
        <is>
          <t>Is competence defined per role and evidenced (incl. AI skills)?</t>
        </is>
      </c>
      <c r="D23" s="5" t="inlineStr">
        <is>
          <t>IMS-REG-004</t>
        </is>
      </c>
      <c r="E23" s="5" t="inlineStr">
        <is>
          <t>Partial</t>
        </is>
      </c>
      <c r="F23" s="5">
        <f>IF(E23="Done",2,IF(E23="Partial",1,IF(E23="","",0)))</f>
        <v/>
      </c>
      <c r="G23" s="5" t="inlineStr">
        <is>
          <t>Contractor gap NC-2026-004</t>
        </is>
      </c>
      <c r="H23" s="5" t="inlineStr"/>
    </row>
    <row r="24">
      <c r="A24" s="5" t="inlineStr">
        <is>
          <t>7.3</t>
        </is>
      </c>
      <c r="B24" s="5" t="inlineStr">
        <is>
          <t>Both</t>
        </is>
      </c>
      <c r="C24" s="5" t="inlineStr">
        <is>
          <t>Is everyone aware of the policy, their contribution and what happens if they don't comply?</t>
        </is>
      </c>
      <c r="D24" s="5" t="inlineStr">
        <is>
          <t>IMS-PRO-003</t>
        </is>
      </c>
      <c r="E24" s="5" t="inlineStr">
        <is>
          <t>Partial</t>
        </is>
      </c>
      <c r="F24" s="5">
        <f>IF(E24="Done",2,IF(E24="Partial",1,IF(E24="","",0)))</f>
        <v/>
      </c>
      <c r="G24" s="5" t="inlineStr">
        <is>
          <t>AI-literacy module rolling out</t>
        </is>
      </c>
      <c r="H24" s="5" t="inlineStr"/>
    </row>
    <row r="25">
      <c r="A25" s="5" t="inlineStr">
        <is>
          <t>7.4</t>
        </is>
      </c>
      <c r="B25" s="5" t="inlineStr">
        <is>
          <t>Both</t>
        </is>
      </c>
      <c r="C25" s="5" t="inlineStr">
        <is>
          <t>Is internal and external communication planned (what, when, with whom, how)?</t>
        </is>
      </c>
      <c r="D25" s="5" t="inlineStr">
        <is>
          <t>IMS-REG-004</t>
        </is>
      </c>
      <c r="E25" s="5" t="inlineStr">
        <is>
          <t>Done</t>
        </is>
      </c>
      <c r="F25" s="5">
        <f>IF(E25="Done",2,IF(E25="Partial",1,IF(E25="","",0)))</f>
        <v/>
      </c>
      <c r="G25" s="5" t="inlineStr"/>
      <c r="H25" s="5" t="inlineStr"/>
    </row>
    <row r="26">
      <c r="A26" s="5" t="inlineStr">
        <is>
          <t>7.5</t>
        </is>
      </c>
      <c r="B26" s="5" t="inlineStr">
        <is>
          <t>Both</t>
        </is>
      </c>
      <c r="C26" s="5" t="inlineStr">
        <is>
          <t>Is documented information created, approved, controlled and retained properly?</t>
        </is>
      </c>
      <c r="D26" s="5" t="inlineStr">
        <is>
          <t>IMS-PRO-004</t>
        </is>
      </c>
      <c r="E26" s="5" t="inlineStr">
        <is>
          <t>Done</t>
        </is>
      </c>
      <c r="F26" s="5">
        <f>IF(E26="Done",2,IF(E26="Partial",1,IF(E26="","",0)))</f>
        <v/>
      </c>
      <c r="G26" s="5" t="inlineStr"/>
      <c r="H26" s="5" t="inlineStr"/>
    </row>
    <row r="27">
      <c r="A27" s="5" t="inlineStr">
        <is>
          <t>8.1</t>
        </is>
      </c>
      <c r="B27" s="5" t="inlineStr">
        <is>
          <t>Both</t>
        </is>
      </c>
      <c r="C27" s="5" t="inlineStr">
        <is>
          <t>Are operational processes planned and controlled, including outsourced processes?</t>
        </is>
      </c>
      <c r="D27" s="5" t="inlineStr">
        <is>
          <t>IMS-POL-002</t>
        </is>
      </c>
      <c r="E27" s="5" t="inlineStr">
        <is>
          <t>Done</t>
        </is>
      </c>
      <c r="F27" s="5">
        <f>IF(E27="Done",2,IF(E27="Partial",1,IF(E27="","",0)))</f>
        <v/>
      </c>
      <c r="G27" s="5" t="inlineStr"/>
      <c r="H27" s="5" t="inlineStr"/>
    </row>
    <row r="28">
      <c r="A28" s="5" t="inlineStr">
        <is>
          <t>8.1</t>
        </is>
      </c>
      <c r="B28" s="5" t="inlineStr">
        <is>
          <t>42001 only</t>
        </is>
      </c>
      <c r="C28" s="5" t="inlineStr">
        <is>
          <t>Do AI lifecycle processes follow responsible-development criteria with gates?</t>
        </is>
      </c>
      <c r="D28" s="5" t="inlineStr">
        <is>
          <t>IMS-POL-002</t>
        </is>
      </c>
      <c r="E28" s="5" t="inlineStr">
        <is>
          <t>Done</t>
        </is>
      </c>
      <c r="F28" s="5">
        <f>IF(E28="Done",2,IF(E28="Partial",1,IF(E28="","",0)))</f>
        <v/>
      </c>
      <c r="G28" s="5" t="inlineStr">
        <is>
          <t>AI Release Review</t>
        </is>
      </c>
      <c r="H28" s="5" t="inlineStr"/>
    </row>
    <row r="29">
      <c r="A29" s="5" t="inlineStr">
        <is>
          <t>8.2</t>
        </is>
      </c>
      <c r="B29" s="5" t="inlineStr">
        <is>
          <t>Both</t>
        </is>
      </c>
      <c r="C29" s="5" t="inlineStr">
        <is>
          <t>Are risk assessments repeated at planned intervals and after significant change?</t>
        </is>
      </c>
      <c r="D29" s="5" t="inlineStr">
        <is>
          <t>IMS-PRO-001</t>
        </is>
      </c>
      <c r="E29" s="5" t="inlineStr">
        <is>
          <t>Done</t>
        </is>
      </c>
      <c r="F29" s="5">
        <f>IF(E29="Done",2,IF(E29="Partial",1,IF(E29="","",0)))</f>
        <v/>
      </c>
      <c r="G29" s="5" t="inlineStr"/>
      <c r="H29" s="5" t="inlineStr"/>
    </row>
    <row r="30">
      <c r="A30" s="5" t="inlineStr">
        <is>
          <t>8.3</t>
        </is>
      </c>
      <c r="B30" s="5" t="inlineStr">
        <is>
          <t>Both</t>
        </is>
      </c>
      <c r="C30" s="5" t="inlineStr">
        <is>
          <t>Is the risk treatment plan being implemented, with evidence?</t>
        </is>
      </c>
      <c r="D30" s="5" t="inlineStr">
        <is>
          <t>IMS-REG-002</t>
        </is>
      </c>
      <c r="E30" s="5" t="inlineStr">
        <is>
          <t>Partial</t>
        </is>
      </c>
      <c r="F30" s="5">
        <f>IF(E30="Done",2,IF(E30="Partial",1,IF(E30="","",0)))</f>
        <v/>
      </c>
      <c r="G30" s="5" t="inlineStr">
        <is>
          <t>3 actions open</t>
        </is>
      </c>
      <c r="H30" s="5" t="inlineStr"/>
    </row>
    <row r="31">
      <c r="A31" s="5" t="inlineStr">
        <is>
          <t>8.4</t>
        </is>
      </c>
      <c r="B31" s="5" t="inlineStr">
        <is>
          <t>42001 only</t>
        </is>
      </c>
      <c r="C31" s="5" t="inlineStr">
        <is>
          <t>Are AI system impact assessments performed and their results kept?</t>
        </is>
      </c>
      <c r="D31" s="5" t="inlineStr">
        <is>
          <t>IMS-PRO-002</t>
        </is>
      </c>
      <c r="E31" s="5" t="inlineStr">
        <is>
          <t>Done</t>
        </is>
      </c>
      <c r="F31" s="5">
        <f>IF(E31="Done",2,IF(E31="Partial",1,IF(E31="","",0)))</f>
        <v/>
      </c>
      <c r="G31" s="5" t="inlineStr">
        <is>
          <t>AIIA-2026-01, -02</t>
        </is>
      </c>
      <c r="H31" s="5" t="inlineStr"/>
    </row>
    <row r="32">
      <c r="A32" s="5" t="inlineStr">
        <is>
          <t>9.1</t>
        </is>
      </c>
      <c r="B32" s="5" t="inlineStr">
        <is>
          <t>Both</t>
        </is>
      </c>
      <c r="C32" s="5" t="inlineStr">
        <is>
          <t>Do you know what is monitored and measured, how, when, and who analyses the results?</t>
        </is>
      </c>
      <c r="D32" s="5" t="inlineStr">
        <is>
          <t>IMS-REG-003</t>
        </is>
      </c>
      <c r="E32" s="5" t="inlineStr">
        <is>
          <t>Done</t>
        </is>
      </c>
      <c r="F32" s="5">
        <f>IF(E32="Done",2,IF(E32="Partial",1,IF(E32="","",0)))</f>
        <v/>
      </c>
      <c r="G32" s="5" t="inlineStr"/>
      <c r="H32" s="5" t="inlineStr"/>
    </row>
    <row r="33">
      <c r="A33" s="5" t="inlineStr">
        <is>
          <t>9.2</t>
        </is>
      </c>
      <c r="B33" s="5" t="inlineStr">
        <is>
          <t>Both</t>
        </is>
      </c>
      <c r="C33" s="5" t="inlineStr">
        <is>
          <t>Is there an internal audit programme and have audits been done by objective auditors?</t>
        </is>
      </c>
      <c r="D33" s="5" t="inlineStr">
        <is>
          <t>IMS-PRO-007</t>
        </is>
      </c>
      <c r="E33" s="5" t="inlineStr">
        <is>
          <t>Done</t>
        </is>
      </c>
      <c r="F33" s="5">
        <f>IF(E33="Done",2,IF(E33="Partial",1,IF(E33="","",0)))</f>
        <v/>
      </c>
      <c r="G33" s="5" t="inlineStr">
        <is>
          <t>AUD-2026-02</t>
        </is>
      </c>
      <c r="H33" s="5" t="inlineStr"/>
    </row>
    <row r="34">
      <c r="A34" s="5" t="inlineStr">
        <is>
          <t>9.3</t>
        </is>
      </c>
      <c r="B34" s="5" t="inlineStr">
        <is>
          <t>Both</t>
        </is>
      </c>
      <c r="C34" s="5" t="inlineStr">
        <is>
          <t>Has top management reviewed the system with all required inputs and recorded decisions?</t>
        </is>
      </c>
      <c r="D34" s="5" t="inlineStr">
        <is>
          <t>IMS-PRO-008</t>
        </is>
      </c>
      <c r="E34" s="5" t="inlineStr">
        <is>
          <t>Done</t>
        </is>
      </c>
      <c r="F34" s="5">
        <f>IF(E34="Done",2,IF(E34="Partial",1,IF(E34="","",0)))</f>
        <v/>
      </c>
      <c r="G34" s="5" t="inlineStr">
        <is>
          <t>Review 2026-10-21</t>
        </is>
      </c>
      <c r="H34" s="5" t="inlineStr"/>
    </row>
    <row r="35">
      <c r="A35" s="5" t="inlineStr">
        <is>
          <t>10.1</t>
        </is>
      </c>
      <c r="B35" s="5" t="inlineStr">
        <is>
          <t>Both</t>
        </is>
      </c>
      <c r="C35" s="5" t="inlineStr">
        <is>
          <t>Can you show continual improvement (improvement register, trend of metrics)?</t>
        </is>
      </c>
      <c r="D35" s="5" t="inlineStr">
        <is>
          <t>IMS-REG-008</t>
        </is>
      </c>
      <c r="E35" s="5" t="inlineStr">
        <is>
          <t>Done</t>
        </is>
      </c>
      <c r="F35" s="5">
        <f>IF(E35="Done",2,IF(E35="Partial",1,IF(E35="","",0)))</f>
        <v/>
      </c>
      <c r="G35" s="5" t="inlineStr"/>
      <c r="H35" s="5" t="inlineStr"/>
    </row>
    <row r="36">
      <c r="A36" s="5" t="inlineStr">
        <is>
          <t>10.2</t>
        </is>
      </c>
      <c r="B36" s="5" t="inlineStr">
        <is>
          <t>Both</t>
        </is>
      </c>
      <c r="C36" s="5" t="inlineStr">
        <is>
          <t>Are nonconformities corrected, root causes found and corrective actions checked for effectiveness?</t>
        </is>
      </c>
      <c r="D36" s="5" t="inlineStr">
        <is>
          <t>IMS-PRO-009</t>
        </is>
      </c>
      <c r="E36" s="5" t="inlineStr">
        <is>
          <t>Partial</t>
        </is>
      </c>
      <c r="F36" s="5">
        <f>IF(E36="Done",2,IF(E36="Partial",1,IF(E36="","",0)))</f>
        <v/>
      </c>
      <c r="G36" s="5" t="inlineStr">
        <is>
          <t>CA-2026-004 open</t>
        </is>
      </c>
      <c r="H36" s="5" t="inlineStr"/>
    </row>
    <row r="37">
      <c r="A37" s="5" t="inlineStr">
        <is>
          <t>A (27001)</t>
        </is>
      </c>
      <c r="B37" s="5" t="inlineStr">
        <is>
          <t>27001 only</t>
        </is>
      </c>
      <c r="C37" s="5" t="inlineStr">
        <is>
          <t>Are the controls you declared 'Implemented' actually working, with evidence an auditor can sample?</t>
        </is>
      </c>
      <c r="D37" s="5" t="inlineStr">
        <is>
          <t>IMS-SOA-001</t>
        </is>
      </c>
      <c r="E37" s="5" t="inlineStr">
        <is>
          <t>Partial</t>
        </is>
      </c>
      <c r="F37" s="5">
        <f>IF(E37="Done",2,IF(E37="Partial",1,IF(E37="","",0)))</f>
        <v/>
      </c>
      <c r="G37" s="5" t="inlineStr">
        <is>
          <t>5 partially implemented</t>
        </is>
      </c>
      <c r="H37" s="5" t="inlineStr"/>
    </row>
    <row r="38">
      <c r="A38" s="5" t="inlineStr">
        <is>
          <t>A (42001)</t>
        </is>
      </c>
      <c r="B38" s="5" t="inlineStr">
        <is>
          <t>42001 only</t>
        </is>
      </c>
      <c r="C38" s="5" t="inlineStr">
        <is>
          <t>Are AI controls (data provenance, V&amp;V, monitoring, user information, suppliers) evidenced per system?</t>
        </is>
      </c>
      <c r="D38" s="5" t="inlineStr">
        <is>
          <t>IMS-SOA-002</t>
        </is>
      </c>
      <c r="E38" s="5" t="inlineStr">
        <is>
          <t>Partial</t>
        </is>
      </c>
      <c r="F38" s="5">
        <f>IF(E38="Done",2,IF(E38="Partial",1,IF(E38="","",0)))</f>
        <v/>
      </c>
      <c r="G38" s="5" t="inlineStr">
        <is>
          <t>A.6.2.6 fairness alerting planned</t>
        </is>
      </c>
      <c r="H38" s="5" t="inlineStr"/>
    </row>
    <row r="39">
      <c r="A39" s="5" t="n"/>
      <c r="B39" s="5" t="n"/>
      <c r="C39" s="5" t="n"/>
      <c r="D39" s="5" t="n"/>
      <c r="E39" s="5" t="n"/>
      <c r="F39" s="5">
        <f>IF(E39="Done",2,IF(E39="Partial",1,IF(E39="","",0)))</f>
        <v/>
      </c>
      <c r="G39" s="5" t="n"/>
      <c r="H39" s="5" t="n"/>
    </row>
    <row r="40">
      <c r="A40" s="5" t="n"/>
      <c r="B40" s="5" t="n"/>
      <c r="C40" s="5" t="n"/>
      <c r="D40" s="5" t="n"/>
      <c r="E40" s="5" t="n"/>
      <c r="F40" s="5">
        <f>IF(E40="Done",2,IF(E40="Partial",1,IF(E40="","",0)))</f>
        <v/>
      </c>
      <c r="G40" s="5" t="n"/>
      <c r="H40" s="5" t="n"/>
    </row>
    <row r="41">
      <c r="A41" s="5" t="n"/>
      <c r="B41" s="5" t="n"/>
      <c r="C41" s="5" t="n"/>
      <c r="D41" s="5" t="n"/>
      <c r="E41" s="5" t="n"/>
      <c r="F41" s="5">
        <f>IF(E41="Done",2,IF(E41="Partial",1,IF(E41="","",0)))</f>
        <v/>
      </c>
      <c r="G41" s="5" t="n"/>
      <c r="H41" s="5" t="n"/>
    </row>
    <row r="42">
      <c r="A42" s="5" t="n"/>
      <c r="B42" s="5" t="n"/>
      <c r="C42" s="5" t="n"/>
      <c r="D42" s="5" t="n"/>
      <c r="E42" s="5" t="n"/>
      <c r="F42" s="5">
        <f>IF(E42="Done",2,IF(E42="Partial",1,IF(E42="","",0)))</f>
        <v/>
      </c>
      <c r="G42" s="5" t="n"/>
      <c r="H42" s="5" t="n"/>
    </row>
    <row r="43">
      <c r="A43" s="5" t="n"/>
      <c r="B43" s="5" t="n"/>
      <c r="C43" s="5" t="n"/>
      <c r="D43" s="5" t="n"/>
      <c r="E43" s="5" t="n"/>
      <c r="F43" s="5">
        <f>IF(E43="Done",2,IF(E43="Partial",1,IF(E43="","",0)))</f>
        <v/>
      </c>
      <c r="G43" s="5" t="n"/>
      <c r="H43" s="5" t="n"/>
    </row>
    <row r="44">
      <c r="A44" s="5" t="n"/>
      <c r="B44" s="5" t="n"/>
      <c r="C44" s="5" t="n"/>
      <c r="D44" s="5" t="n"/>
      <c r="E44" s="5" t="n"/>
      <c r="F44" s="5">
        <f>IF(E44="Done",2,IF(E44="Partial",1,IF(E44="","",0)))</f>
        <v/>
      </c>
      <c r="G44" s="5" t="n"/>
      <c r="H44" s="5" t="n"/>
    </row>
    <row r="45">
      <c r="A45" s="5" t="n"/>
      <c r="B45" s="5" t="n"/>
      <c r="C45" s="5" t="n"/>
      <c r="D45" s="5" t="n"/>
      <c r="E45" s="5" t="n"/>
      <c r="F45" s="5">
        <f>IF(E45="Done",2,IF(E45="Partial",1,IF(E45="","",0)))</f>
        <v/>
      </c>
      <c r="G45" s="5" t="n"/>
      <c r="H45" s="5" t="n"/>
    </row>
    <row r="46">
      <c r="A46" s="5" t="n"/>
      <c r="B46" s="5" t="n"/>
      <c r="C46" s="5" t="n"/>
      <c r="D46" s="5" t="n"/>
      <c r="E46" s="5" t="n"/>
      <c r="F46" s="5">
        <f>IF(E46="Done",2,IF(E46="Partial",1,IF(E46="","",0)))</f>
        <v/>
      </c>
      <c r="G46" s="5" t="n"/>
      <c r="H46" s="5" t="n"/>
    </row>
    <row r="47">
      <c r="A47" s="5" t="n"/>
      <c r="B47" s="5" t="n"/>
      <c r="C47" s="5" t="n"/>
      <c r="D47" s="5" t="n"/>
      <c r="E47" s="5" t="n"/>
      <c r="F47" s="5">
        <f>IF(E47="Done",2,IF(E47="Partial",1,IF(E47="","",0)))</f>
        <v/>
      </c>
      <c r="G47" s="5" t="n"/>
      <c r="H47" s="5" t="n"/>
    </row>
    <row r="48">
      <c r="A48" s="5" t="n"/>
      <c r="B48" s="5" t="n"/>
      <c r="C48" s="5" t="n"/>
      <c r="D48" s="5" t="n"/>
      <c r="E48" s="5" t="n"/>
      <c r="F48" s="5">
        <f>IF(E48="Done",2,IF(E48="Partial",1,IF(E48="","",0)))</f>
        <v/>
      </c>
      <c r="G48" s="5" t="n"/>
      <c r="H48" s="5" t="n"/>
    </row>
  </sheetData>
  <autoFilter ref="A4:H48"/>
  <mergeCells count="1">
    <mergeCell ref="A2:H2"/>
  </mergeCells>
  <conditionalFormatting sqref="E5:E48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2">
    <dataValidation sqref="E5:E48" showDropDown="0" showInputMessage="0" showErrorMessage="0" allowBlank="1" errorTitle="Invalid value" error="Pick a value from the list." type="list">
      <formula1>"Done,Partial,Not started"</formula1>
    </dataValidation>
    <dataValidation sqref="B5:B48" showDropDown="0" showInputMessage="0" showErrorMessage="0" allowBlank="1" errorTitle="Invalid value" error="Pick a value from the list." type="list">
      <formula1>"Both,27001 only,42001 only"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9" customWidth="1" min="3" max="3"/>
    <col width="9" customWidth="1" min="4" max="4"/>
    <col width="12" customWidth="1" min="5" max="5"/>
  </cols>
  <sheetData>
    <row r="1">
      <c r="A1" s="8" t="inlineStr">
        <is>
          <t>Readiness by clause group</t>
        </is>
      </c>
    </row>
    <row r="2" ht="30" customHeight="1">
      <c r="A2" s="3" t="inlineStr">
        <is>
          <t>Percentage of maximum score per clause group.</t>
        </is>
      </c>
    </row>
    <row r="4" ht="32" customHeight="1">
      <c r="A4" s="9" t="inlineStr">
        <is>
          <t>Clause group</t>
        </is>
      </c>
      <c r="B4" s="9" t="inlineStr">
        <is>
          <t>Questions</t>
        </is>
      </c>
      <c r="C4" s="9" t="inlineStr">
        <is>
          <t>Score</t>
        </is>
      </c>
      <c r="D4" s="9" t="inlineStr">
        <is>
          <t>Max</t>
        </is>
      </c>
      <c r="E4" s="9" t="inlineStr">
        <is>
          <t>Readiness</t>
        </is>
      </c>
    </row>
    <row r="5">
      <c r="A5" s="5" t="inlineStr">
        <is>
          <t>4 Context</t>
        </is>
      </c>
      <c r="B5" s="5">
        <f>COUNTIFS('Gap Assessment'!A:A,"4*",'Gap Assessment'!E:E,"&lt;&gt;")</f>
        <v/>
      </c>
      <c r="C5" s="5">
        <f>SUMIF('Gap Assessment'!A:A,"4*",'Gap Assessment'!F:F)</f>
        <v/>
      </c>
      <c r="D5" s="5">
        <f>B5*2</f>
        <v/>
      </c>
      <c r="E5" s="5">
        <f>IF(D5=0,"",ROUND(C5/D5*100,0)&amp;"%")</f>
        <v/>
      </c>
    </row>
    <row r="6">
      <c r="A6" s="5" t="inlineStr">
        <is>
          <t>5 Leadership</t>
        </is>
      </c>
      <c r="B6" s="5">
        <f>COUNTIFS('Gap Assessment'!A:A,"5*",'Gap Assessment'!E:E,"&lt;&gt;")</f>
        <v/>
      </c>
      <c r="C6" s="5">
        <f>SUMIF('Gap Assessment'!A:A,"5*",'Gap Assessment'!F:F)</f>
        <v/>
      </c>
      <c r="D6" s="5">
        <f>B6*2</f>
        <v/>
      </c>
      <c r="E6" s="5">
        <f>IF(D6=0,"",ROUND(C6/D6*100,0)&amp;"%")</f>
        <v/>
      </c>
    </row>
    <row r="7">
      <c r="A7" s="5" t="inlineStr">
        <is>
          <t>6 Planning</t>
        </is>
      </c>
      <c r="B7" s="5">
        <f>COUNTIFS('Gap Assessment'!A:A,"6*",'Gap Assessment'!E:E,"&lt;&gt;")</f>
        <v/>
      </c>
      <c r="C7" s="5">
        <f>SUMIF('Gap Assessment'!A:A,"6*",'Gap Assessment'!F:F)</f>
        <v/>
      </c>
      <c r="D7" s="5">
        <f>B7*2</f>
        <v/>
      </c>
      <c r="E7" s="5">
        <f>IF(D7=0,"",ROUND(C7/D7*100,0)&amp;"%")</f>
        <v/>
      </c>
    </row>
    <row r="8">
      <c r="A8" s="5" t="inlineStr">
        <is>
          <t>7 Support</t>
        </is>
      </c>
      <c r="B8" s="5">
        <f>COUNTIFS('Gap Assessment'!A:A,"7*",'Gap Assessment'!E:E,"&lt;&gt;")</f>
        <v/>
      </c>
      <c r="C8" s="5">
        <f>SUMIF('Gap Assessment'!A:A,"7*",'Gap Assessment'!F:F)</f>
        <v/>
      </c>
      <c r="D8" s="5">
        <f>B8*2</f>
        <v/>
      </c>
      <c r="E8" s="5">
        <f>IF(D8=0,"",ROUND(C8/D8*100,0)&amp;"%")</f>
        <v/>
      </c>
    </row>
    <row r="9">
      <c r="A9" s="5" t="inlineStr">
        <is>
          <t>8 Operation</t>
        </is>
      </c>
      <c r="B9" s="5">
        <f>COUNTIFS('Gap Assessment'!A:A,"8*",'Gap Assessment'!E:E,"&lt;&gt;")</f>
        <v/>
      </c>
      <c r="C9" s="5">
        <f>SUMIF('Gap Assessment'!A:A,"8*",'Gap Assessment'!F:F)</f>
        <v/>
      </c>
      <c r="D9" s="5">
        <f>B9*2</f>
        <v/>
      </c>
      <c r="E9" s="5">
        <f>IF(D9=0,"",ROUND(C9/D9*100,0)&amp;"%")</f>
        <v/>
      </c>
    </row>
    <row r="10">
      <c r="A10" s="5" t="inlineStr">
        <is>
          <t>9 Performance evaluation</t>
        </is>
      </c>
      <c r="B10" s="5">
        <f>COUNTIFS('Gap Assessment'!A:A,"9*",'Gap Assessment'!E:E,"&lt;&gt;")</f>
        <v/>
      </c>
      <c r="C10" s="5">
        <f>SUMIF('Gap Assessment'!A:A,"9*",'Gap Assessment'!F:F)</f>
        <v/>
      </c>
      <c r="D10" s="5">
        <f>B10*2</f>
        <v/>
      </c>
      <c r="E10" s="5">
        <f>IF(D10=0,"",ROUND(C10/D10*100,0)&amp;"%")</f>
        <v/>
      </c>
    </row>
    <row r="11">
      <c r="A11" s="5" t="inlineStr">
        <is>
          <t>10 Improvement</t>
        </is>
      </c>
      <c r="B11" s="5">
        <f>COUNTIFS('Gap Assessment'!A:A,"10*",'Gap Assessment'!E:E,"&lt;&gt;")</f>
        <v/>
      </c>
      <c r="C11" s="5">
        <f>SUMIF('Gap Assessment'!A:A,"10*",'Gap Assessment'!F:F)</f>
        <v/>
      </c>
      <c r="D11" s="5">
        <f>B11*2</f>
        <v/>
      </c>
      <c r="E11" s="5">
        <f>IF(D11=0,"",ROUND(C11/D11*100,0)&amp;"%")</f>
        <v/>
      </c>
    </row>
    <row r="12">
      <c r="A12" s="5" t="inlineStr">
        <is>
          <t>Annex A controls</t>
        </is>
      </c>
      <c r="B12" s="5">
        <f>COUNTIFS('Gap Assessment'!A:A,"A*",'Gap Assessment'!E:E,"&lt;&gt;")</f>
        <v/>
      </c>
      <c r="C12" s="5">
        <f>SUMIF('Gap Assessment'!A:A,"A*",'Gap Assessment'!F:F)</f>
        <v/>
      </c>
      <c r="D12" s="5">
        <f>B12*2</f>
        <v/>
      </c>
      <c r="E12" s="5">
        <f>IF(D12=0,"",ROUND(C12/D12*100,0)&amp;"%")</f>
        <v/>
      </c>
    </row>
    <row r="13">
      <c r="A13" s="5" t="inlineStr">
        <is>
          <t>Overall</t>
        </is>
      </c>
      <c r="B13" s="5">
        <f>SUM(B5:B12)</f>
        <v/>
      </c>
      <c r="C13" s="5">
        <f>SUM(C5:C12)</f>
        <v/>
      </c>
      <c r="D13" s="5">
        <f>SUM(D5:D12)</f>
        <v/>
      </c>
      <c r="E13" s="5">
        <f>IF(D13=0,"",ROUND(C13/D13*100,0)&amp;"%")</f>
        <v/>
      </c>
    </row>
  </sheetData>
  <autoFilter ref="A4:E13"/>
  <mergeCells count="1">
    <mergeCell ref="A2:E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0" customWidth="1" min="3" max="3"/>
    <col width="18" customWidth="1" min="4" max="4"/>
    <col width="32" customWidth="1" min="5" max="5"/>
    <col width="13" customWidth="1" min="6" max="6"/>
    <col width="12" customWidth="1" min="7" max="7"/>
  </cols>
  <sheetData>
    <row r="1">
      <c r="A1" s="8" t="inlineStr">
        <is>
          <t>Implementation roadmap — startup route to two certificates</t>
        </is>
      </c>
    </row>
    <row r="2" ht="30" customHeight="1">
      <c r="A2" s="3" t="inlineStr">
        <is>
          <t>Weeks are counted from kick-off. Strands follow the TWYNTRUST framework: 1 Ground, 2 Gauge, 3 Equip, 4 Operate, 5 Prove and improve.</t>
        </is>
      </c>
    </row>
    <row r="4" ht="32" customHeight="1">
      <c r="A4" s="9" t="inlineStr">
        <is>
          <t>Week</t>
        </is>
      </c>
      <c r="B4" s="9" t="inlineStr">
        <is>
          <t>Strand</t>
        </is>
      </c>
      <c r="C4" s="9" t="inlineStr">
        <is>
          <t>Task</t>
        </is>
      </c>
      <c r="D4" s="9" t="inlineStr">
        <is>
          <t>Owner</t>
        </is>
      </c>
      <c r="E4" s="9" t="inlineStr">
        <is>
          <t>Output</t>
        </is>
      </c>
      <c r="F4" s="9" t="inlineStr">
        <is>
          <t>Status</t>
        </is>
      </c>
      <c r="G4" s="9" t="inlineStr">
        <is>
          <t>Done date</t>
        </is>
      </c>
    </row>
    <row r="5">
      <c r="A5" s="5" t="inlineStr">
        <is>
          <t>1</t>
        </is>
      </c>
      <c r="B5" s="5" t="inlineStr">
        <is>
          <t>Start</t>
        </is>
      </c>
      <c r="C5" s="5" t="inlineStr">
        <is>
          <t>Get leadership commitment: agree why (contracts, trust), budget, and target certification date</t>
        </is>
      </c>
      <c r="D5" s="5" t="inlineStr">
        <is>
          <t>[CEO]</t>
        </is>
      </c>
      <c r="E5" s="5" t="inlineStr">
        <is>
          <t>Trust Council kick-off note</t>
        </is>
      </c>
      <c r="F5" s="5" t="inlineStr">
        <is>
          <t>Done</t>
        </is>
      </c>
      <c r="G5" s="5" t="inlineStr"/>
    </row>
    <row r="6">
      <c r="A6" s="5" t="inlineStr">
        <is>
          <t>1</t>
        </is>
      </c>
      <c r="B6" s="5" t="inlineStr">
        <is>
          <t>Start</t>
        </is>
      </c>
      <c r="C6" s="5" t="inlineStr">
        <is>
          <t>Appoint the Compliance Coordinator, ISMS owner and AIMS owner; set up a shared folder or wiki</t>
        </is>
      </c>
      <c r="D6" s="5" t="inlineStr">
        <is>
          <t>[CEO]</t>
        </is>
      </c>
      <c r="E6" s="5" t="inlineStr">
        <is>
          <t>IMS-GOV-001 draft</t>
        </is>
      </c>
      <c r="F6" s="5" t="inlineStr">
        <is>
          <t>Done</t>
        </is>
      </c>
      <c r="G6" s="5" t="inlineStr"/>
    </row>
    <row r="7">
      <c r="A7" s="5" t="inlineStr">
        <is>
          <t>1–2</t>
        </is>
      </c>
      <c r="B7" s="5" t="inlineStr">
        <is>
          <t>Start</t>
        </is>
      </c>
      <c r="C7" s="5" t="inlineStr">
        <is>
          <t>Run the gap assessment in this workbook; agree priorities</t>
        </is>
      </c>
      <c r="D7" s="5" t="inlineStr">
        <is>
          <t>[Compliance Coordinator]</t>
        </is>
      </c>
      <c r="E7" s="5" t="inlineStr">
        <is>
          <t>Gap Assessment sheet</t>
        </is>
      </c>
      <c r="F7" s="5" t="inlineStr">
        <is>
          <t>Done</t>
        </is>
      </c>
      <c r="G7" s="5" t="inlineStr"/>
    </row>
    <row r="8">
      <c r="A8" s="5" t="inlineStr">
        <is>
          <t>2–3</t>
        </is>
      </c>
      <c r="B8" s="5" t="inlineStr">
        <is>
          <t>1 Ground</t>
        </is>
      </c>
      <c r="C8" s="5" t="inlineStr">
        <is>
          <t>Write context, interested parties, legal register and one scope for both standards</t>
        </is>
      </c>
      <c r="D8" s="5" t="inlineStr">
        <is>
          <t>[Compliance Coordinator]</t>
        </is>
      </c>
      <c r="E8" s="5" t="inlineStr">
        <is>
          <t>IMS-REG-001</t>
        </is>
      </c>
      <c r="F8" s="5" t="inlineStr">
        <is>
          <t>Done</t>
        </is>
      </c>
      <c r="G8" s="5" t="inlineStr"/>
    </row>
    <row r="9">
      <c r="A9" s="5" t="inlineStr">
        <is>
          <t>3</t>
        </is>
      </c>
      <c r="B9" s="5" t="inlineStr">
        <is>
          <t>1 Ground</t>
        </is>
      </c>
      <c r="C9" s="5" t="inlineStr">
        <is>
          <t>Agree governance: Trust Council, AI Release Review, RACI</t>
        </is>
      </c>
      <c r="D9" s="5" t="inlineStr">
        <is>
          <t>[CEO]</t>
        </is>
      </c>
      <c r="E9" s="5" t="inlineStr">
        <is>
          <t>IMS-GOV-001</t>
        </is>
      </c>
      <c r="F9" s="5" t="inlineStr">
        <is>
          <t>Done</t>
        </is>
      </c>
      <c r="G9" s="5" t="inlineStr"/>
    </row>
    <row r="10">
      <c r="A10" s="5" t="inlineStr">
        <is>
          <t>3–4</t>
        </is>
      </c>
      <c r="B10" s="5" t="inlineStr">
        <is>
          <t>1 Ground</t>
        </is>
      </c>
      <c r="C10" s="5" t="inlineStr">
        <is>
          <t>Write and approve the top-level policy</t>
        </is>
      </c>
      <c r="D10" s="5" t="inlineStr">
        <is>
          <t>[CEO]</t>
        </is>
      </c>
      <c r="E10" s="5" t="inlineStr">
        <is>
          <t>IMS-POL-001</t>
        </is>
      </c>
      <c r="F10" s="5" t="inlineStr">
        <is>
          <t>Done</t>
        </is>
      </c>
      <c r="G10" s="5" t="inlineStr"/>
    </row>
    <row r="11">
      <c r="A11" s="5" t="inlineStr">
        <is>
          <t>4</t>
        </is>
      </c>
      <c r="B11" s="5" t="inlineStr">
        <is>
          <t>4 Operate</t>
        </is>
      </c>
      <c r="C11" s="5" t="inlineStr">
        <is>
          <t>Build the asset and AI system inventory; name an owner for every AI system</t>
        </is>
      </c>
      <c r="D11" s="5" t="inlineStr">
        <is>
          <t>[Security Lead]</t>
        </is>
      </c>
      <c r="E11" s="5" t="inlineStr">
        <is>
          <t>IMS-REG-005</t>
        </is>
      </c>
      <c r="F11" s="5" t="inlineStr">
        <is>
          <t>Done</t>
        </is>
      </c>
      <c r="G11" s="5" t="inlineStr"/>
    </row>
    <row r="12">
      <c r="A12" s="5" t="inlineStr">
        <is>
          <t>4–5</t>
        </is>
      </c>
      <c r="B12" s="5" t="inlineStr">
        <is>
          <t>2 Gauge</t>
        </is>
      </c>
      <c r="C12" s="5" t="inlineStr">
        <is>
          <t>Agree the risk method and scales; train risk owners for one hour</t>
        </is>
      </c>
      <c r="D12" s="5" t="inlineStr">
        <is>
          <t>[Security Lead]</t>
        </is>
      </c>
      <c r="E12" s="5" t="inlineStr">
        <is>
          <t>IMS-PRO-001</t>
        </is>
      </c>
      <c r="F12" s="5" t="inlineStr">
        <is>
          <t>Done</t>
        </is>
      </c>
      <c r="G12" s="5" t="inlineStr"/>
    </row>
    <row r="13">
      <c r="A13" s="5" t="inlineStr">
        <is>
          <t>5–6</t>
        </is>
      </c>
      <c r="B13" s="5" t="inlineStr">
        <is>
          <t>2 Gauge</t>
        </is>
      </c>
      <c r="C13" s="5" t="inlineStr">
        <is>
          <t>Run risk workshops (security, then AI) and fill in the risk register</t>
        </is>
      </c>
      <c r="D13" s="5" t="inlineStr">
        <is>
          <t>[Security Lead]</t>
        </is>
      </c>
      <c r="E13" s="5" t="inlineStr">
        <is>
          <t>IMS-REG-002</t>
        </is>
      </c>
      <c r="F13" s="5" t="inlineStr">
        <is>
          <t>Done</t>
        </is>
      </c>
      <c r="G13" s="5" t="inlineStr"/>
    </row>
    <row r="14">
      <c r="A14" s="5" t="inlineStr">
        <is>
          <t>6–7</t>
        </is>
      </c>
      <c r="B14" s="5" t="inlineStr">
        <is>
          <t>2 Gauge</t>
        </is>
      </c>
      <c r="C14" s="5" t="inlineStr">
        <is>
          <t>Do impact assessments for High-criticality AI systems</t>
        </is>
      </c>
      <c r="D14" s="5" t="inlineStr">
        <is>
          <t>[Head of AI]</t>
        </is>
      </c>
      <c r="E14" s="5" t="inlineStr">
        <is>
          <t>IMS-PRO-002</t>
        </is>
      </c>
      <c r="F14" s="5" t="inlineStr">
        <is>
          <t>Done</t>
        </is>
      </c>
      <c r="G14" s="5" t="inlineStr"/>
    </row>
    <row r="15">
      <c r="A15" s="5" t="inlineStr">
        <is>
          <t>7–8</t>
        </is>
      </c>
      <c r="B15" s="5" t="inlineStr">
        <is>
          <t>2 Gauge</t>
        </is>
      </c>
      <c r="C15" s="5" t="inlineStr">
        <is>
          <t>Choose controls; complete both Statements of Applicability; approve treatment plan</t>
        </is>
      </c>
      <c r="D15" s="5" t="inlineStr">
        <is>
          <t>[Security Lead]</t>
        </is>
      </c>
      <c r="E15" s="5" t="inlineStr">
        <is>
          <t>IMS-SOA-001, IMS-SOA-002</t>
        </is>
      </c>
      <c r="F15" s="5" t="inlineStr">
        <is>
          <t>Done</t>
        </is>
      </c>
      <c r="G15" s="5" t="inlineStr"/>
    </row>
    <row r="16">
      <c r="A16" s="5" t="inlineStr">
        <is>
          <t>8</t>
        </is>
      </c>
      <c r="B16" s="5" t="inlineStr">
        <is>
          <t>2 Gauge</t>
        </is>
      </c>
      <c r="C16" s="5" t="inlineStr">
        <is>
          <t>Set objectives and metrics</t>
        </is>
      </c>
      <c r="D16" s="5" t="inlineStr">
        <is>
          <t>[Compliance Coordinator]</t>
        </is>
      </c>
      <c r="E16" s="5" t="inlineStr">
        <is>
          <t>IMS-REG-003</t>
        </is>
      </c>
      <c r="F16" s="5" t="inlineStr">
        <is>
          <t>Done</t>
        </is>
      </c>
      <c r="G16" s="5" t="inlineStr"/>
    </row>
    <row r="17">
      <c r="A17" s="5" t="inlineStr">
        <is>
          <t>6–10</t>
        </is>
      </c>
      <c r="B17" s="5" t="inlineStr">
        <is>
          <t>4 Operate</t>
        </is>
      </c>
      <c r="C17" s="5" t="inlineStr">
        <is>
          <t>Write or adapt the topic policies and procedures; close the biggest control gaps first</t>
        </is>
      </c>
      <c r="D17" s="5" t="inlineStr">
        <is>
          <t>[CTO]</t>
        </is>
      </c>
      <c r="E17" s="5" t="inlineStr">
        <is>
          <t>IMS-POL-002 to 006, IMS-PRO-005, 006</t>
        </is>
      </c>
      <c r="F17" s="5" t="inlineStr">
        <is>
          <t>Done</t>
        </is>
      </c>
      <c r="G17" s="5" t="inlineStr"/>
    </row>
    <row r="18">
      <c r="A18" s="5" t="inlineStr">
        <is>
          <t>8–10</t>
        </is>
      </c>
      <c r="B18" s="5" t="inlineStr">
        <is>
          <t>3 Equip</t>
        </is>
      </c>
      <c r="C18" s="5" t="inlineStr">
        <is>
          <t>Competence matrix, awareness and AI-literacy training for everyone</t>
        </is>
      </c>
      <c r="D18" s="5" t="inlineStr">
        <is>
          <t>[People and Operations Lead]</t>
        </is>
      </c>
      <c r="E18" s="5" t="inlineStr">
        <is>
          <t>IMS-REG-004</t>
        </is>
      </c>
      <c r="F18" s="5" t="inlineStr">
        <is>
          <t>Done</t>
        </is>
      </c>
      <c r="G18" s="5" t="inlineStr"/>
    </row>
    <row r="19">
      <c r="A19" s="5" t="inlineStr">
        <is>
          <t>8–9</t>
        </is>
      </c>
      <c r="B19" s="5" t="inlineStr">
        <is>
          <t>3 Equip</t>
        </is>
      </c>
      <c r="C19" s="5" t="inlineStr">
        <is>
          <t>Set up document control and the document register</t>
        </is>
      </c>
      <c r="D19" s="5" t="inlineStr">
        <is>
          <t>[Compliance Coordinator]</t>
        </is>
      </c>
      <c r="E19" s="5" t="inlineStr">
        <is>
          <t>IMS-PRO-004</t>
        </is>
      </c>
      <c r="F19" s="5" t="inlineStr">
        <is>
          <t>Done</t>
        </is>
      </c>
      <c r="G19" s="5" t="inlineStr"/>
    </row>
    <row r="20">
      <c r="A20" s="5" t="inlineStr">
        <is>
          <t>10–12</t>
        </is>
      </c>
      <c r="B20" s="5" t="inlineStr">
        <is>
          <t>4 Operate</t>
        </is>
      </c>
      <c r="C20" s="5" t="inlineStr">
        <is>
          <t>Operate the system: run the processes and keep records (minimum 6–8 weeks of evidence before audit)</t>
        </is>
      </c>
      <c r="D20" s="5" t="inlineStr">
        <is>
          <t>[Compliance Coordinator]</t>
        </is>
      </c>
      <c r="E20" s="5" t="inlineStr">
        <is>
          <t>Records in all registers</t>
        </is>
      </c>
      <c r="F20" s="5" t="inlineStr">
        <is>
          <t>Done</t>
        </is>
      </c>
      <c r="G20" s="5" t="inlineStr"/>
    </row>
    <row r="21">
      <c r="A21" s="5" t="inlineStr">
        <is>
          <t>12–13</t>
        </is>
      </c>
      <c r="B21" s="5" t="inlineStr">
        <is>
          <t>5 Prove and improve</t>
        </is>
      </c>
      <c r="C21" s="5" t="inlineStr">
        <is>
          <t>Full internal audit of both standards</t>
        </is>
      </c>
      <c r="D21" s="5" t="inlineStr">
        <is>
          <t>[Compliance Coordinator]</t>
        </is>
      </c>
      <c r="E21" s="5" t="inlineStr">
        <is>
          <t>IMS-PRO-007, IMS-REG-007</t>
        </is>
      </c>
      <c r="F21" s="5" t="inlineStr">
        <is>
          <t>In progress</t>
        </is>
      </c>
      <c r="G21" s="5" t="inlineStr"/>
    </row>
    <row r="22">
      <c r="A22" s="5" t="inlineStr">
        <is>
          <t>13</t>
        </is>
      </c>
      <c r="B22" s="5" t="inlineStr">
        <is>
          <t>5 Prove and improve</t>
        </is>
      </c>
      <c r="C22" s="5" t="inlineStr">
        <is>
          <t>Management review with all required inputs</t>
        </is>
      </c>
      <c r="D22" s="5" t="inlineStr">
        <is>
          <t>[CEO]</t>
        </is>
      </c>
      <c r="E22" s="5" t="inlineStr">
        <is>
          <t>IMS-PRO-008</t>
        </is>
      </c>
      <c r="F22" s="5" t="inlineStr">
        <is>
          <t>In progress</t>
        </is>
      </c>
      <c r="G22" s="5" t="inlineStr"/>
    </row>
    <row r="23">
      <c r="A23" s="5" t="inlineStr">
        <is>
          <t>13–14</t>
        </is>
      </c>
      <c r="B23" s="5" t="inlineStr">
        <is>
          <t>5 Prove and improve</t>
        </is>
      </c>
      <c r="C23" s="5" t="inlineStr">
        <is>
          <t>Corrective actions for audit findings</t>
        </is>
      </c>
      <c r="D23" s="5" t="inlineStr">
        <is>
          <t>[Compliance Coordinator]</t>
        </is>
      </c>
      <c r="E23" s="5" t="inlineStr">
        <is>
          <t>IMS-REG-008</t>
        </is>
      </c>
      <c r="F23" s="5" t="inlineStr">
        <is>
          <t>In progress</t>
        </is>
      </c>
      <c r="G23" s="5" t="inlineStr"/>
    </row>
    <row r="24">
      <c r="A24" s="5" t="inlineStr">
        <is>
          <t>14</t>
        </is>
      </c>
      <c r="B24" s="5" t="inlineStr">
        <is>
          <t>Certify</t>
        </is>
      </c>
      <c r="C24" s="5" t="inlineStr">
        <is>
          <t>Choose an accredited certification body that can audit both standards together; book stage 1</t>
        </is>
      </c>
      <c r="D24" s="5" t="inlineStr">
        <is>
          <t>[CEO]</t>
        </is>
      </c>
      <c r="E24" s="5" t="inlineStr">
        <is>
          <t>Contract</t>
        </is>
      </c>
      <c r="F24" s="5" t="inlineStr">
        <is>
          <t>Planned</t>
        </is>
      </c>
      <c r="G24" s="5" t="inlineStr"/>
    </row>
    <row r="25">
      <c r="A25" s="5" t="inlineStr">
        <is>
          <t>15–16</t>
        </is>
      </c>
      <c r="B25" s="5" t="inlineStr">
        <is>
          <t>Certify</t>
        </is>
      </c>
      <c r="C25" s="5" t="inlineStr">
        <is>
          <t>Stage 1 audit (documents and readiness); fix any stage 1 concerns</t>
        </is>
      </c>
      <c r="D25" s="5" t="inlineStr">
        <is>
          <t>[Compliance Coordinator]</t>
        </is>
      </c>
      <c r="E25" s="5" t="inlineStr">
        <is>
          <t>Stage 1 report</t>
        </is>
      </c>
      <c r="F25" s="5" t="inlineStr">
        <is>
          <t>Planned</t>
        </is>
      </c>
      <c r="G25" s="5" t="inlineStr"/>
    </row>
    <row r="26">
      <c r="A26" s="5" t="inlineStr">
        <is>
          <t>18–20</t>
        </is>
      </c>
      <c r="B26" s="5" t="inlineStr">
        <is>
          <t>Certify</t>
        </is>
      </c>
      <c r="C26" s="5" t="inlineStr">
        <is>
          <t>Stage 2 audit (implementation and effectiveness)</t>
        </is>
      </c>
      <c r="D26" s="5" t="inlineStr">
        <is>
          <t>[Compliance Coordinator]</t>
        </is>
      </c>
      <c r="E26" s="5" t="inlineStr">
        <is>
          <t>Certificates</t>
        </is>
      </c>
      <c r="F26" s="5" t="inlineStr">
        <is>
          <t>Planned</t>
        </is>
      </c>
      <c r="G26" s="5" t="inlineStr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</sheetData>
  <autoFilter ref="A4:G36"/>
  <mergeCells count="1">
    <mergeCell ref="A2:G2"/>
  </mergeCells>
  <conditionalFormatting sqref="F5:F36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1">
    <dataValidation sqref="F5:F36" showDropDown="0" showInputMessage="0" showErrorMessage="0" allowBlank="1" errorTitle="Invalid value" error="Pick a value from the list." type="list">
      <formula1>"Not started,In progress,Done,Planned"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24" customWidth="1" min="3" max="3"/>
    <col width="24" customWidth="1" min="4" max="4"/>
    <col width="80" customWidth="1" min="5" max="5"/>
  </cols>
  <sheetData>
    <row r="1">
      <c r="A1" s="8" t="inlineStr">
        <is>
          <t>Clause crosswalk — ISO/IEC 27001:2022 and ISO/IEC 42001:2023</t>
        </is>
      </c>
    </row>
    <row r="2" ht="30" customHeight="1">
      <c r="A2" s="3" t="inlineStr">
        <is>
          <t>Both standards use the same harmonised structure, so one process can meet the same clause in both. Clause titles are short descriptions, not ISO text.</t>
        </is>
      </c>
    </row>
    <row r="4" ht="32" customHeight="1">
      <c r="A4" s="9" t="inlineStr">
        <is>
          <t>Clause</t>
        </is>
      </c>
      <c r="B4" s="9" t="inlineStr">
        <is>
          <t>Topic</t>
        </is>
      </c>
      <c r="C4" s="9" t="inlineStr">
        <is>
          <t>ISO/IEC 27001</t>
        </is>
      </c>
      <c r="D4" s="9" t="inlineStr">
        <is>
          <t>ISO/IEC 42001</t>
        </is>
      </c>
      <c r="E4" s="9" t="inlineStr">
        <is>
          <t>What changes when AI is added</t>
        </is>
      </c>
    </row>
    <row r="5">
      <c r="A5" s="5" t="inlineStr">
        <is>
          <t>4.1</t>
        </is>
      </c>
      <c r="B5" s="5" t="inlineStr">
        <is>
          <t>Organisation and its context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42001 also asks you to decide your AI role(s) and the intended purpose of your AI systems.</t>
        </is>
      </c>
    </row>
    <row r="6">
      <c r="A6" s="5" t="inlineStr">
        <is>
          <t>4.2</t>
        </is>
      </c>
      <c r="B6" s="5" t="inlineStr">
        <is>
          <t>Interested parties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Add people affected by AI outputs (e.g. depicted people, artists) even if they are not customers.</t>
        </is>
      </c>
    </row>
    <row r="7">
      <c r="A7" s="5" t="inlineStr">
        <is>
          <t>4.3</t>
        </is>
      </c>
      <c r="B7" s="5" t="inlineStr">
        <is>
          <t>Scope</t>
        </is>
      </c>
      <c r="C7" s="5" t="inlineStr">
        <is>
          <t>Yes</t>
        </is>
      </c>
      <c r="D7" s="5" t="inlineStr">
        <is>
          <t>Yes</t>
        </is>
      </c>
      <c r="E7" s="5" t="inlineStr">
        <is>
          <t>Write one scope; list the AI systems in scope by name.</t>
        </is>
      </c>
    </row>
    <row r="8">
      <c r="A8" s="5" t="inlineStr">
        <is>
          <t>4.4</t>
        </is>
      </c>
      <c r="B8" s="5" t="inlineStr">
        <is>
          <t>Management system</t>
        </is>
      </c>
      <c r="C8" s="5" t="inlineStr">
        <is>
          <t>Yes</t>
        </is>
      </c>
      <c r="D8" s="5" t="inlineStr">
        <is>
          <t>Yes</t>
        </is>
      </c>
      <c r="E8" s="5" t="inlineStr">
        <is>
          <t>Same.</t>
        </is>
      </c>
    </row>
    <row r="9">
      <c r="A9" s="5" t="inlineStr">
        <is>
          <t>5.1</t>
        </is>
      </c>
      <c r="B9" s="5" t="inlineStr">
        <is>
          <t>Leadership and commitment</t>
        </is>
      </c>
      <c r="C9" s="5" t="inlineStr">
        <is>
          <t>Yes</t>
        </is>
      </c>
      <c r="D9" s="5" t="inlineStr">
        <is>
          <t>Yes</t>
        </is>
      </c>
      <c r="E9" s="5" t="inlineStr">
        <is>
          <t>Same; leaders also commit to responsible AI.</t>
        </is>
      </c>
    </row>
    <row r="10">
      <c r="A10" s="5" t="inlineStr">
        <is>
          <t>5.2</t>
        </is>
      </c>
      <c r="B10" s="5" t="inlineStr">
        <is>
          <t>Policy</t>
        </is>
      </c>
      <c r="C10" s="5" t="inlineStr">
        <is>
          <t>Yes</t>
        </is>
      </c>
      <c r="D10" s="5" t="inlineStr">
        <is>
          <t>Yes</t>
        </is>
      </c>
      <c r="E10" s="5" t="inlineStr">
        <is>
          <t>AI policy must fit the purpose of AI use and give a framework for AI objectives — one combined policy works.</t>
        </is>
      </c>
    </row>
    <row r="11">
      <c r="A11" s="5" t="inlineStr">
        <is>
          <t>5.3</t>
        </is>
      </c>
      <c r="B11" s="5" t="inlineStr">
        <is>
          <t>Roles, responsibilities, authorities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Same.</t>
        </is>
      </c>
    </row>
    <row r="12">
      <c r="A12" s="5" t="inlineStr">
        <is>
          <t>6.1.1</t>
        </is>
      </c>
      <c r="B12" s="5" t="inlineStr">
        <is>
          <t>Actions to address risks and opportunities</t>
        </is>
      </c>
      <c r="C12" s="5" t="inlineStr">
        <is>
          <t>Yes</t>
        </is>
      </c>
      <c r="D12" s="5" t="inlineStr">
        <is>
          <t>Yes</t>
        </is>
      </c>
      <c r="E12" s="5" t="inlineStr">
        <is>
          <t>42001 asks you to separate tasks for AI risk assessment, treatment and impact assessment.</t>
        </is>
      </c>
    </row>
    <row r="13">
      <c r="A13" s="5" t="inlineStr">
        <is>
          <t>6.1.2</t>
        </is>
      </c>
      <c r="B13" s="5" t="inlineStr">
        <is>
          <t>Risk assessment</t>
        </is>
      </c>
      <c r="C13" s="5" t="inlineStr">
        <is>
          <t>Yes (information security risk)</t>
        </is>
      </c>
      <c r="D13" s="5" t="inlineStr">
        <is>
          <t>Yes (AI risk)</t>
        </is>
      </c>
      <c r="E13" s="5" t="inlineStr">
        <is>
          <t>AI risks include consequences for individuals, groups and society, not only the organisation.</t>
        </is>
      </c>
    </row>
    <row r="14">
      <c r="A14" s="5" t="inlineStr">
        <is>
          <t>6.1.3</t>
        </is>
      </c>
      <c r="B14" s="5" t="inlineStr">
        <is>
          <t>Risk treatment and SoA</t>
        </is>
      </c>
      <c r="C14" s="5" t="inlineStr">
        <is>
          <t>Yes — Annex A 93 controls</t>
        </is>
      </c>
      <c r="D14" s="5" t="inlineStr">
        <is>
          <t>Yes — Annex A 38 controls</t>
        </is>
      </c>
      <c r="E14" s="5" t="inlineStr">
        <is>
          <t>Two SoAs; one treatment plan.</t>
        </is>
      </c>
    </row>
    <row r="15">
      <c r="A15" s="5" t="inlineStr">
        <is>
          <t>6.1.4</t>
        </is>
      </c>
      <c r="B15" s="5" t="inlineStr">
        <is>
          <t>AI system impact assessment</t>
        </is>
      </c>
      <c r="C15" s="5" t="inlineStr">
        <is>
          <t>—</t>
        </is>
      </c>
      <c r="D15" s="5" t="inlineStr">
        <is>
          <t>Yes</t>
        </is>
      </c>
      <c r="E15" s="5" t="inlineStr">
        <is>
          <t>New for AI: assess impacts on people and society; results feed risk assessment.</t>
        </is>
      </c>
    </row>
    <row r="16">
      <c r="A16" s="5" t="inlineStr">
        <is>
          <t>6.2</t>
        </is>
      </c>
      <c r="B16" s="5" t="inlineStr">
        <is>
          <t>Objectives and planning</t>
        </is>
      </c>
      <c r="C16" s="5" t="inlineStr">
        <is>
          <t>Yes</t>
        </is>
      </c>
      <c r="D16" s="5" t="inlineStr">
        <is>
          <t>Yes</t>
        </is>
      </c>
      <c r="E16" s="5" t="inlineStr">
        <is>
          <t>Same structure; add AI objectives (e.g. fairness, transparency).</t>
        </is>
      </c>
    </row>
    <row r="17">
      <c r="A17" s="5" t="inlineStr">
        <is>
          <t>6.3</t>
        </is>
      </c>
      <c r="B17" s="5" t="inlineStr">
        <is>
          <t>Planning of changes</t>
        </is>
      </c>
      <c r="C17" s="5" t="inlineStr">
        <is>
          <t>Yes</t>
        </is>
      </c>
      <c r="D17" s="5" t="inlineStr">
        <is>
          <t>Yes</t>
        </is>
      </c>
      <c r="E17" s="5" t="inlineStr">
        <is>
          <t>Same.</t>
        </is>
      </c>
    </row>
    <row r="18">
      <c r="A18" s="5" t="inlineStr">
        <is>
          <t>7.1</t>
        </is>
      </c>
      <c r="B18" s="5" t="inlineStr">
        <is>
          <t>Resources</t>
        </is>
      </c>
      <c r="C18" s="5" t="inlineStr">
        <is>
          <t>Yes</t>
        </is>
      </c>
      <c r="D18" s="5" t="inlineStr">
        <is>
          <t>Yes</t>
        </is>
      </c>
      <c r="E18" s="5" t="inlineStr">
        <is>
          <t>Same.</t>
        </is>
      </c>
    </row>
    <row r="19">
      <c r="A19" s="5" t="inlineStr">
        <is>
          <t>7.2</t>
        </is>
      </c>
      <c r="B19" s="5" t="inlineStr">
        <is>
          <t>Competence</t>
        </is>
      </c>
      <c r="C19" s="5" t="inlineStr">
        <is>
          <t>Yes</t>
        </is>
      </c>
      <c r="D19" s="5" t="inlineStr">
        <is>
          <t>Yes</t>
        </is>
      </c>
      <c r="E19" s="5" t="inlineStr">
        <is>
          <t>Add AI-specific competences.</t>
        </is>
      </c>
    </row>
    <row r="20">
      <c r="A20" s="5" t="inlineStr">
        <is>
          <t>7.3</t>
        </is>
      </c>
      <c r="B20" s="5" t="inlineStr">
        <is>
          <t>Awareness</t>
        </is>
      </c>
      <c r="C20" s="5" t="inlineStr">
        <is>
          <t>Yes</t>
        </is>
      </c>
      <c r="D20" s="5" t="inlineStr">
        <is>
          <t>Yes</t>
        </is>
      </c>
      <c r="E20" s="5" t="inlineStr">
        <is>
          <t>Awareness of the AI policy as well.</t>
        </is>
      </c>
    </row>
    <row r="21">
      <c r="A21" s="5" t="inlineStr">
        <is>
          <t>7.4</t>
        </is>
      </c>
      <c r="B21" s="5" t="inlineStr">
        <is>
          <t>Communication</t>
        </is>
      </c>
      <c r="C21" s="5" t="inlineStr">
        <is>
          <t>Yes</t>
        </is>
      </c>
      <c r="D21" s="5" t="inlineStr">
        <is>
          <t>Yes</t>
        </is>
      </c>
      <c r="E21" s="5" t="inlineStr">
        <is>
          <t>Same.</t>
        </is>
      </c>
    </row>
    <row r="22">
      <c r="A22" s="5" t="inlineStr">
        <is>
          <t>7.5</t>
        </is>
      </c>
      <c r="B22" s="5" t="inlineStr">
        <is>
          <t>Documented information</t>
        </is>
      </c>
      <c r="C22" s="5" t="inlineStr">
        <is>
          <t>Yes</t>
        </is>
      </c>
      <c r="D22" s="5" t="inlineStr">
        <is>
          <t>Yes</t>
        </is>
      </c>
      <c r="E22" s="5" t="inlineStr">
        <is>
          <t>Same; AI documentation (model cards, data provenance) is added.</t>
        </is>
      </c>
    </row>
    <row r="23">
      <c r="A23" s="5" t="inlineStr">
        <is>
          <t>8.1</t>
        </is>
      </c>
      <c r="B23" s="5" t="inlineStr">
        <is>
          <t>Operational planning and control</t>
        </is>
      </c>
      <c r="C23" s="5" t="inlineStr">
        <is>
          <t>Yes</t>
        </is>
      </c>
      <c r="D23" s="5" t="inlineStr">
        <is>
          <t>Yes</t>
        </is>
      </c>
      <c r="E23" s="5" t="inlineStr">
        <is>
          <t>Same; AI lifecycle processes included.</t>
        </is>
      </c>
    </row>
    <row r="24">
      <c r="A24" s="5" t="inlineStr">
        <is>
          <t>8.2</t>
        </is>
      </c>
      <c r="B24" s="5" t="inlineStr">
        <is>
          <t>Risk assessment (operation)</t>
        </is>
      </c>
      <c r="C24" s="5" t="inlineStr">
        <is>
          <t>Yes</t>
        </is>
      </c>
      <c r="D24" s="5" t="inlineStr">
        <is>
          <t>Yes</t>
        </is>
      </c>
      <c r="E24" s="5" t="inlineStr">
        <is>
          <t>Same.</t>
        </is>
      </c>
    </row>
    <row r="25">
      <c r="A25" s="5" t="inlineStr">
        <is>
          <t>8.3</t>
        </is>
      </c>
      <c r="B25" s="5" t="inlineStr">
        <is>
          <t>Risk treatment (operation)</t>
        </is>
      </c>
      <c r="C25" s="5" t="inlineStr">
        <is>
          <t>Yes</t>
        </is>
      </c>
      <c r="D25" s="5" t="inlineStr">
        <is>
          <t>Yes</t>
        </is>
      </c>
      <c r="E25" s="5" t="inlineStr">
        <is>
          <t>Same.</t>
        </is>
      </c>
    </row>
    <row r="26">
      <c r="A26" s="5" t="inlineStr">
        <is>
          <t>8.4</t>
        </is>
      </c>
      <c r="B26" s="5" t="inlineStr">
        <is>
          <t>AI system impact assessment (operation)</t>
        </is>
      </c>
      <c r="C26" s="5" t="inlineStr">
        <is>
          <t>—</t>
        </is>
      </c>
      <c r="D26" s="5" t="inlineStr">
        <is>
          <t>Yes</t>
        </is>
      </c>
      <c r="E26" s="5" t="inlineStr">
        <is>
          <t>Perform impact assessments at planned intervals and on change.</t>
        </is>
      </c>
    </row>
    <row r="27">
      <c r="A27" s="5" t="inlineStr">
        <is>
          <t>9.1</t>
        </is>
      </c>
      <c r="B27" s="5" t="inlineStr">
        <is>
          <t>Monitoring, measurement, analysis, evaluation</t>
        </is>
      </c>
      <c r="C27" s="5" t="inlineStr">
        <is>
          <t>Yes</t>
        </is>
      </c>
      <c r="D27" s="5" t="inlineStr">
        <is>
          <t>Yes</t>
        </is>
      </c>
      <c r="E27" s="5" t="inlineStr">
        <is>
          <t>Add AI system performance metrics.</t>
        </is>
      </c>
    </row>
    <row r="28">
      <c r="A28" s="5" t="inlineStr">
        <is>
          <t>9.2</t>
        </is>
      </c>
      <c r="B28" s="5" t="inlineStr">
        <is>
          <t>Internal audit</t>
        </is>
      </c>
      <c r="C28" s="5" t="inlineStr">
        <is>
          <t>Yes</t>
        </is>
      </c>
      <c r="D28" s="5" t="inlineStr">
        <is>
          <t>Yes</t>
        </is>
      </c>
      <c r="E28" s="5" t="inlineStr">
        <is>
          <t>One programme, auditors competent in both.</t>
        </is>
      </c>
    </row>
    <row r="29">
      <c r="A29" s="5" t="inlineStr">
        <is>
          <t>9.3</t>
        </is>
      </c>
      <c r="B29" s="5" t="inlineStr">
        <is>
          <t>Management review</t>
        </is>
      </c>
      <c r="C29" s="5" t="inlineStr">
        <is>
          <t>Yes</t>
        </is>
      </c>
      <c r="D29" s="5" t="inlineStr">
        <is>
          <t>Yes</t>
        </is>
      </c>
      <c r="E29" s="5" t="inlineStr">
        <is>
          <t>One review; include AI-specific inputs.</t>
        </is>
      </c>
    </row>
    <row r="30">
      <c r="A30" s="5" t="inlineStr">
        <is>
          <t>10.1</t>
        </is>
      </c>
      <c r="B30" s="5" t="inlineStr">
        <is>
          <t>Continual improvement</t>
        </is>
      </c>
      <c r="C30" s="5" t="inlineStr">
        <is>
          <t>Yes</t>
        </is>
      </c>
      <c r="D30" s="5" t="inlineStr">
        <is>
          <t>Yes</t>
        </is>
      </c>
      <c r="E30" s="5" t="inlineStr">
        <is>
          <t>Same.</t>
        </is>
      </c>
    </row>
    <row r="31">
      <c r="A31" s="5" t="inlineStr">
        <is>
          <t>10.2</t>
        </is>
      </c>
      <c r="B31" s="5" t="inlineStr">
        <is>
          <t>Nonconformity and corrective action</t>
        </is>
      </c>
      <c r="C31" s="5" t="inlineStr">
        <is>
          <t>Yes</t>
        </is>
      </c>
      <c r="D31" s="5" t="inlineStr">
        <is>
          <t>Yes</t>
        </is>
      </c>
      <c r="E31" s="5" t="inlineStr">
        <is>
          <t>Same.</t>
        </is>
      </c>
    </row>
  </sheetData>
  <autoFilter ref="A4:E31"/>
  <mergeCells count="1">
    <mergeCell ref="A2:E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6" customWidth="1" min="2" max="2"/>
    <col width="32" customWidth="1" min="3" max="3"/>
    <col width="7" customWidth="1" min="4" max="4"/>
    <col width="18" customWidth="1" min="5" max="5"/>
    <col width="8" customWidth="1" min="6" max="6"/>
    <col width="10" customWidth="1" min="7" max="7"/>
    <col width="12" customWidth="1" min="8" max="8"/>
    <col width="12" customWidth="1" min="9" max="9"/>
    <col width="13" customWidth="1" min="10" max="10"/>
  </cols>
  <sheetData>
    <row r="1">
      <c r="A1" s="8" t="inlineStr">
        <is>
          <t>Master list of controlled documents</t>
        </is>
      </c>
    </row>
    <row r="2" ht="30" customHeight="1">
      <c r="A2" s="3" t="inlineStr">
        <is>
          <t>Every controlled document and register in the system. Review status turns 'Overdue' after the next-review date.</t>
        </is>
      </c>
    </row>
    <row r="4" ht="32" customHeight="1">
      <c r="A4" s="9" t="inlineStr">
        <is>
          <t>ID</t>
        </is>
      </c>
      <c r="B4" s="9" t="inlineStr">
        <is>
          <t>Title</t>
        </is>
      </c>
      <c r="C4" s="9" t="inlineStr">
        <is>
          <t>Folder</t>
        </is>
      </c>
      <c r="D4" s="9" t="inlineStr">
        <is>
          <t>Type</t>
        </is>
      </c>
      <c r="E4" s="9" t="inlineStr">
        <is>
          <t>Owner</t>
        </is>
      </c>
      <c r="F4" s="9" t="inlineStr">
        <is>
          <t>Version</t>
        </is>
      </c>
      <c r="G4" s="9" t="inlineStr">
        <is>
          <t>Status</t>
        </is>
      </c>
      <c r="H4" s="9" t="inlineStr">
        <is>
          <t>Effective</t>
        </is>
      </c>
      <c r="I4" s="9" t="inlineStr">
        <is>
          <t>Next review</t>
        </is>
      </c>
      <c r="J4" s="9" t="inlineStr">
        <is>
          <t>Review status</t>
        </is>
      </c>
    </row>
    <row r="5">
      <c r="A5" s="5" t="inlineStr">
        <is>
          <t>IMS-GDE-001</t>
        </is>
      </c>
      <c r="B5" s="5" t="inlineStr">
        <is>
          <t>Start Here — Build Your ISMS and AIMS with TWYNTRUST</t>
        </is>
      </c>
      <c r="C5" s="5" t="inlineStr">
        <is>
          <t>00 Start Here</t>
        </is>
      </c>
      <c r="D5" s="5" t="inlineStr">
        <is>
          <t>docx</t>
        </is>
      </c>
      <c r="E5" s="5" t="inlineStr">
        <is>
          <t>[Compliance Coordinator]</t>
        </is>
      </c>
      <c r="F5" s="5" t="inlineStr">
        <is>
          <t>2.0</t>
        </is>
      </c>
      <c r="G5" s="5" t="inlineStr">
        <is>
          <t>Approved</t>
        </is>
      </c>
      <c r="H5" s="5" t="inlineStr">
        <is>
          <t>2026-11-01</t>
        </is>
      </c>
      <c r="I5" s="5" t="inlineStr">
        <is>
          <t>2027-11-01</t>
        </is>
      </c>
      <c r="J5" s="5">
        <f>IF(I5="","",IF(DATEVALUE(I5)&lt;TODAY(),"Overdue","On track"))</f>
        <v/>
      </c>
    </row>
    <row r="6">
      <c r="A6" s="5" t="inlineStr">
        <is>
          <t>IMS-WBK-001</t>
        </is>
      </c>
      <c r="B6" s="5" t="inlineStr">
        <is>
          <t>Starter Workbook — Gap Assessment, Roadmap, Crosswalk and Document Register</t>
        </is>
      </c>
      <c r="C6" s="5" t="inlineStr">
        <is>
          <t>00 Start Here</t>
        </is>
      </c>
      <c r="D6" s="5" t="inlineStr">
        <is>
          <t>xlsx</t>
        </is>
      </c>
      <c r="E6" s="5" t="inlineStr">
        <is>
          <t>[Compliance Coordinator]</t>
        </is>
      </c>
      <c r="F6" s="5" t="inlineStr">
        <is>
          <t>2.0</t>
        </is>
      </c>
      <c r="G6" s="5" t="inlineStr">
        <is>
          <t>Approved</t>
        </is>
      </c>
      <c r="H6" s="5" t="inlineStr">
        <is>
          <t>2026-11-01</t>
        </is>
      </c>
      <c r="I6" s="5" t="inlineStr">
        <is>
          <t>2027-11-01</t>
        </is>
      </c>
      <c r="J6" s="5">
        <f>IF(I6="","",IF(DATEVALUE(I6)&lt;TODAY(),"Overdue","On track"))</f>
        <v/>
      </c>
    </row>
    <row r="7">
      <c r="A7" s="5" t="inlineStr">
        <is>
          <t>IMS-MAN-001</t>
        </is>
      </c>
      <c r="B7" s="5" t="inlineStr">
        <is>
          <t>Integrated Management System Manual (ISMS + AIMS)</t>
        </is>
      </c>
      <c r="C7" s="5" t="inlineStr">
        <is>
          <t>01 Ground - Context and Leadership</t>
        </is>
      </c>
      <c r="D7" s="5" t="inlineStr">
        <is>
          <t>docx</t>
        </is>
      </c>
      <c r="E7" s="5" t="inlineStr">
        <is>
          <t>[CEO]</t>
        </is>
      </c>
      <c r="F7" s="5" t="inlineStr">
        <is>
          <t>2.0</t>
        </is>
      </c>
      <c r="G7" s="5" t="inlineStr">
        <is>
          <t>Approved</t>
        </is>
      </c>
      <c r="H7" s="5" t="inlineStr">
        <is>
          <t>2026-11-01</t>
        </is>
      </c>
      <c r="I7" s="5" t="inlineStr">
        <is>
          <t>2027-11-01</t>
        </is>
      </c>
      <c r="J7" s="5">
        <f>IF(I7="","",IF(DATEVALUE(I7)&lt;TODAY(),"Overdue","On track"))</f>
        <v/>
      </c>
    </row>
    <row r="8">
      <c r="A8" s="5" t="inlineStr">
        <is>
          <t>IMS-REG-001</t>
        </is>
      </c>
      <c r="B8" s="5" t="inlineStr">
        <is>
          <t>Context, Interested Parties and Scope Register</t>
        </is>
      </c>
      <c r="C8" s="5" t="inlineStr">
        <is>
          <t>01 Ground - Context and Leadership</t>
        </is>
      </c>
      <c r="D8" s="5" t="inlineStr">
        <is>
          <t>xlsx</t>
        </is>
      </c>
      <c r="E8" s="5" t="inlineStr">
        <is>
          <t>[Compliance Coordinator]</t>
        </is>
      </c>
      <c r="F8" s="5" t="inlineStr">
        <is>
          <t>2.0</t>
        </is>
      </c>
      <c r="G8" s="5" t="inlineStr">
        <is>
          <t>Approved</t>
        </is>
      </c>
      <c r="H8" s="5" t="inlineStr">
        <is>
          <t>2026-11-01</t>
        </is>
      </c>
      <c r="I8" s="5" t="inlineStr">
        <is>
          <t>2027-11-01</t>
        </is>
      </c>
      <c r="J8" s="5">
        <f>IF(I8="","",IF(DATEVALUE(I8)&lt;TODAY(),"Overdue","On track"))</f>
        <v/>
      </c>
    </row>
    <row r="9">
      <c r="A9" s="5" t="inlineStr">
        <is>
          <t>IMS-POL-001</t>
        </is>
      </c>
      <c r="B9" s="5" t="inlineStr">
        <is>
          <t>Information Security and Responsible AI Policy</t>
        </is>
      </c>
      <c r="C9" s="5" t="inlineStr">
        <is>
          <t>01 Ground - Context and Leadership</t>
        </is>
      </c>
      <c r="D9" s="5" t="inlineStr">
        <is>
          <t>docx</t>
        </is>
      </c>
      <c r="E9" s="5" t="inlineStr">
        <is>
          <t>[CEO]</t>
        </is>
      </c>
      <c r="F9" s="5" t="inlineStr">
        <is>
          <t>2.0</t>
        </is>
      </c>
      <c r="G9" s="5" t="inlineStr">
        <is>
          <t>Approved</t>
        </is>
      </c>
      <c r="H9" s="5" t="inlineStr">
        <is>
          <t>2026-11-01</t>
        </is>
      </c>
      <c r="I9" s="5" t="inlineStr">
        <is>
          <t>2027-11-01</t>
        </is>
      </c>
      <c r="J9" s="5">
        <f>IF(I9="","",IF(DATEVALUE(I9)&lt;TODAY(),"Overdue","On track"))</f>
        <v/>
      </c>
    </row>
    <row r="10">
      <c r="A10" s="5" t="inlineStr">
        <is>
          <t>IMS-GOV-001</t>
        </is>
      </c>
      <c r="B10" s="5" t="inlineStr">
        <is>
          <t>Governance Charter, Roles and Responsibilities</t>
        </is>
      </c>
      <c r="C10" s="5" t="inlineStr">
        <is>
          <t>01 Ground - Context and Leadership</t>
        </is>
      </c>
      <c r="D10" s="5" t="inlineStr">
        <is>
          <t>docx</t>
        </is>
      </c>
      <c r="E10" s="5" t="inlineStr">
        <is>
          <t>[CEO]</t>
        </is>
      </c>
      <c r="F10" s="5" t="inlineStr">
        <is>
          <t>2.0</t>
        </is>
      </c>
      <c r="G10" s="5" t="inlineStr">
        <is>
          <t>Approved</t>
        </is>
      </c>
      <c r="H10" s="5" t="inlineStr">
        <is>
          <t>2026-11-01</t>
        </is>
      </c>
      <c r="I10" s="5" t="inlineStr">
        <is>
          <t>2027-11-01</t>
        </is>
      </c>
      <c r="J10" s="5">
        <f>IF(I10="","",IF(DATEVALUE(I10)&lt;TODAY(),"Overdue","On track"))</f>
        <v/>
      </c>
    </row>
    <row r="11">
      <c r="A11" s="5" t="inlineStr">
        <is>
          <t>IMS-PRO-001</t>
        </is>
      </c>
      <c r="B11" s="5" t="inlineStr">
        <is>
          <t>Risk Management Methodology (Information Security and AI)</t>
        </is>
      </c>
      <c r="C11" s="5" t="inlineStr">
        <is>
          <t>02 Gauge - Risk and Planning</t>
        </is>
      </c>
      <c r="D11" s="5" t="inlineStr">
        <is>
          <t>docx</t>
        </is>
      </c>
      <c r="E11" s="5" t="inlineStr">
        <is>
          <t>[Security Lead]</t>
        </is>
      </c>
      <c r="F11" s="5" t="inlineStr">
        <is>
          <t>2.0</t>
        </is>
      </c>
      <c r="G11" s="5" t="inlineStr">
        <is>
          <t>Approved</t>
        </is>
      </c>
      <c r="H11" s="5" t="inlineStr">
        <is>
          <t>2026-11-01</t>
        </is>
      </c>
      <c r="I11" s="5" t="inlineStr">
        <is>
          <t>2027-11-01</t>
        </is>
      </c>
      <c r="J11" s="5">
        <f>IF(I11="","",IF(DATEVALUE(I11)&lt;TODAY(),"Overdue","On track"))</f>
        <v/>
      </c>
    </row>
    <row r="12">
      <c r="A12" s="5" t="inlineStr">
        <is>
          <t>IMS-REG-002</t>
        </is>
      </c>
      <c r="B12" s="5" t="inlineStr">
        <is>
          <t>Integrated Risk Register and Treatment Plan</t>
        </is>
      </c>
      <c r="C12" s="5" t="inlineStr">
        <is>
          <t>02 Gauge - Risk and Planning</t>
        </is>
      </c>
      <c r="D12" s="5" t="inlineStr">
        <is>
          <t>xlsx</t>
        </is>
      </c>
      <c r="E12" s="5" t="inlineStr">
        <is>
          <t>[Security Lead]</t>
        </is>
      </c>
      <c r="F12" s="5" t="inlineStr">
        <is>
          <t>2.0</t>
        </is>
      </c>
      <c r="G12" s="5" t="inlineStr">
        <is>
          <t>Approved</t>
        </is>
      </c>
      <c r="H12" s="5" t="inlineStr">
        <is>
          <t>2026-11-01</t>
        </is>
      </c>
      <c r="I12" s="5" t="inlineStr">
        <is>
          <t>2027-11-01</t>
        </is>
      </c>
      <c r="J12" s="5">
        <f>IF(I12="","",IF(DATEVALUE(I12)&lt;TODAY(),"Overdue","On track"))</f>
        <v/>
      </c>
    </row>
    <row r="13">
      <c r="A13" s="5" t="inlineStr">
        <is>
          <t>IMS-PRO-002</t>
        </is>
      </c>
      <c r="B13" s="5" t="inlineStr">
        <is>
          <t>AI System Impact Assessment Procedure and Worked Example</t>
        </is>
      </c>
      <c r="C13" s="5" t="inlineStr">
        <is>
          <t>02 Gauge - Risk and Planning</t>
        </is>
      </c>
      <c r="D13" s="5" t="inlineStr">
        <is>
          <t>docx</t>
        </is>
      </c>
      <c r="E13" s="5" t="inlineStr">
        <is>
          <t>[Head of AI]</t>
        </is>
      </c>
      <c r="F13" s="5" t="inlineStr">
        <is>
          <t>2.0</t>
        </is>
      </c>
      <c r="G13" s="5" t="inlineStr">
        <is>
          <t>Approved</t>
        </is>
      </c>
      <c r="H13" s="5" t="inlineStr">
        <is>
          <t>2026-11-01</t>
        </is>
      </c>
      <c r="I13" s="5" t="inlineStr">
        <is>
          <t>2027-11-01</t>
        </is>
      </c>
      <c r="J13" s="5">
        <f>IF(I13="","",IF(DATEVALUE(I13)&lt;TODAY(),"Overdue","On track"))</f>
        <v/>
      </c>
    </row>
    <row r="14">
      <c r="A14" s="5" t="inlineStr">
        <is>
          <t>IMS-SOA-001</t>
        </is>
      </c>
      <c r="B14" s="5" t="inlineStr">
        <is>
          <t>Statement of Applicability — ISO/IEC 27001:2022 Annex A</t>
        </is>
      </c>
      <c r="C14" s="5" t="inlineStr">
        <is>
          <t>02 Gauge - Risk and Planning</t>
        </is>
      </c>
      <c r="D14" s="5" t="inlineStr">
        <is>
          <t>xlsx</t>
        </is>
      </c>
      <c r="E14" s="5" t="inlineStr">
        <is>
          <t>[Security Lead]</t>
        </is>
      </c>
      <c r="F14" s="5" t="inlineStr">
        <is>
          <t>2.0</t>
        </is>
      </c>
      <c r="G14" s="5" t="inlineStr">
        <is>
          <t>Approved</t>
        </is>
      </c>
      <c r="H14" s="5" t="inlineStr">
        <is>
          <t>2026-11-01</t>
        </is>
      </c>
      <c r="I14" s="5" t="inlineStr">
        <is>
          <t>2027-11-01</t>
        </is>
      </c>
      <c r="J14" s="5">
        <f>IF(I14="","",IF(DATEVALUE(I14)&lt;TODAY(),"Overdue","On track"))</f>
        <v/>
      </c>
    </row>
    <row r="15">
      <c r="A15" s="5" t="inlineStr">
        <is>
          <t>IMS-SOA-002</t>
        </is>
      </c>
      <c r="B15" s="5" t="inlineStr">
        <is>
          <t>Statement of Applicability — ISO/IEC 42001:2023 Annex A</t>
        </is>
      </c>
      <c r="C15" s="5" t="inlineStr">
        <is>
          <t>02 Gauge - Risk and Planning</t>
        </is>
      </c>
      <c r="D15" s="5" t="inlineStr">
        <is>
          <t>xlsx</t>
        </is>
      </c>
      <c r="E15" s="5" t="inlineStr">
        <is>
          <t>[Head of AI]</t>
        </is>
      </c>
      <c r="F15" s="5" t="inlineStr">
        <is>
          <t>2.0</t>
        </is>
      </c>
      <c r="G15" s="5" t="inlineStr">
        <is>
          <t>Approved</t>
        </is>
      </c>
      <c r="H15" s="5" t="inlineStr">
        <is>
          <t>2026-11-01</t>
        </is>
      </c>
      <c r="I15" s="5" t="inlineStr">
        <is>
          <t>2027-11-01</t>
        </is>
      </c>
      <c r="J15" s="5">
        <f>IF(I15="","",IF(DATEVALUE(I15)&lt;TODAY(),"Overdue","On track"))</f>
        <v/>
      </c>
    </row>
    <row r="16">
      <c r="A16" s="5" t="inlineStr">
        <is>
          <t>IMS-REG-003</t>
        </is>
      </c>
      <c r="B16" s="5" t="inlineStr">
        <is>
          <t>Objectives, Metrics and Monitoring Plan</t>
        </is>
      </c>
      <c r="C16" s="5" t="inlineStr">
        <is>
          <t>02 Gauge - Risk and Planning</t>
        </is>
      </c>
      <c r="D16" s="5" t="inlineStr">
        <is>
          <t>xlsx</t>
        </is>
      </c>
      <c r="E16" s="5" t="inlineStr">
        <is>
          <t>[Compliance Coordinator]</t>
        </is>
      </c>
      <c r="F16" s="5" t="inlineStr">
        <is>
          <t>2.0</t>
        </is>
      </c>
      <c r="G16" s="5" t="inlineStr">
        <is>
          <t>Approved</t>
        </is>
      </c>
      <c r="H16" s="5" t="inlineStr">
        <is>
          <t>2026-11-01</t>
        </is>
      </c>
      <c r="I16" s="5" t="inlineStr">
        <is>
          <t>2027-11-01</t>
        </is>
      </c>
      <c r="J16" s="5">
        <f>IF(I16="","",IF(DATEVALUE(I16)&lt;TODAY(),"Overdue","On track"))</f>
        <v/>
      </c>
    </row>
    <row r="17">
      <c r="A17" s="5" t="inlineStr">
        <is>
          <t>IMS-PRO-003</t>
        </is>
      </c>
      <c r="B17" s="5" t="inlineStr">
        <is>
          <t>Competence, Awareness and Communication Procedure</t>
        </is>
      </c>
      <c r="C17" s="5" t="inlineStr">
        <is>
          <t>03 Equip - Support</t>
        </is>
      </c>
      <c r="D17" s="5" t="inlineStr">
        <is>
          <t>docx</t>
        </is>
      </c>
      <c r="E17" s="5" t="inlineStr">
        <is>
          <t>[People and Operations Lead]</t>
        </is>
      </c>
      <c r="F17" s="5" t="inlineStr">
        <is>
          <t>2.0</t>
        </is>
      </c>
      <c r="G17" s="5" t="inlineStr">
        <is>
          <t>Approved</t>
        </is>
      </c>
      <c r="H17" s="5" t="inlineStr">
        <is>
          <t>2026-11-01</t>
        </is>
      </c>
      <c r="I17" s="5" t="inlineStr">
        <is>
          <t>2027-11-01</t>
        </is>
      </c>
      <c r="J17" s="5">
        <f>IF(I17="","",IF(DATEVALUE(I17)&lt;TODAY(),"Overdue","On track"))</f>
        <v/>
      </c>
    </row>
    <row r="18">
      <c r="A18" s="5" t="inlineStr">
        <is>
          <t>IMS-REG-004</t>
        </is>
      </c>
      <c r="B18" s="5" t="inlineStr">
        <is>
          <t>Competence Matrix, Training Records and Communication Plan</t>
        </is>
      </c>
      <c r="C18" s="5" t="inlineStr">
        <is>
          <t>03 Equip - Support</t>
        </is>
      </c>
      <c r="D18" s="5" t="inlineStr">
        <is>
          <t>xlsx</t>
        </is>
      </c>
      <c r="E18" s="5" t="inlineStr">
        <is>
          <t>[People and Operations Lead]</t>
        </is>
      </c>
      <c r="F18" s="5" t="inlineStr">
        <is>
          <t>2.0</t>
        </is>
      </c>
      <c r="G18" s="5" t="inlineStr">
        <is>
          <t>Approved</t>
        </is>
      </c>
      <c r="H18" s="5" t="inlineStr">
        <is>
          <t>2026-11-01</t>
        </is>
      </c>
      <c r="I18" s="5" t="inlineStr">
        <is>
          <t>2027-11-01</t>
        </is>
      </c>
      <c r="J18" s="5">
        <f>IF(I18="","",IF(DATEVALUE(I18)&lt;TODAY(),"Overdue","On track"))</f>
        <v/>
      </c>
    </row>
    <row r="19">
      <c r="A19" s="5" t="inlineStr">
        <is>
          <t>IMS-PRO-004</t>
        </is>
      </c>
      <c r="B19" s="5" t="inlineStr">
        <is>
          <t>Documented Information Control Procedure</t>
        </is>
      </c>
      <c r="C19" s="5" t="inlineStr">
        <is>
          <t>03 Equip - Support</t>
        </is>
      </c>
      <c r="D19" s="5" t="inlineStr">
        <is>
          <t>docx</t>
        </is>
      </c>
      <c r="E19" s="5" t="inlineStr">
        <is>
          <t>[Compliance Coordinator]</t>
        </is>
      </c>
      <c r="F19" s="5" t="inlineStr">
        <is>
          <t>2.0</t>
        </is>
      </c>
      <c r="G19" s="5" t="inlineStr">
        <is>
          <t>Approved</t>
        </is>
      </c>
      <c r="H19" s="5" t="inlineStr">
        <is>
          <t>2026-11-01</t>
        </is>
      </c>
      <c r="I19" s="5" t="inlineStr">
        <is>
          <t>2027-11-01</t>
        </is>
      </c>
      <c r="J19" s="5">
        <f>IF(I19="","",IF(DATEVALUE(I19)&lt;TODAY(),"Overdue","On track"))</f>
        <v/>
      </c>
    </row>
    <row r="20">
      <c r="A20" s="5" t="inlineStr">
        <is>
          <t>IMS-POL-002</t>
        </is>
      </c>
      <c r="B20" s="5" t="inlineStr">
        <is>
          <t>Secure and Responsible Development Lifecycle Policy (AppSec + AI)</t>
        </is>
      </c>
      <c r="C20" s="5" t="inlineStr">
        <is>
          <t>04 Operate - Lifecycle Controls</t>
        </is>
      </c>
      <c r="D20" s="5" t="inlineStr">
        <is>
          <t>docx</t>
        </is>
      </c>
      <c r="E20" s="5" t="inlineStr">
        <is>
          <t>[CTO]</t>
        </is>
      </c>
      <c r="F20" s="5" t="inlineStr">
        <is>
          <t>2.0</t>
        </is>
      </c>
      <c r="G20" s="5" t="inlineStr">
        <is>
          <t>Approved</t>
        </is>
      </c>
      <c r="H20" s="5" t="inlineStr">
        <is>
          <t>2026-11-01</t>
        </is>
      </c>
      <c r="I20" s="5" t="inlineStr">
        <is>
          <t>2027-11-01</t>
        </is>
      </c>
      <c r="J20" s="5">
        <f>IF(I20="","",IF(DATEVALUE(I20)&lt;TODAY(),"Overdue","On track"))</f>
        <v/>
      </c>
    </row>
    <row r="21">
      <c r="A21" s="5" t="inlineStr">
        <is>
          <t>IMS-POL-003</t>
        </is>
      </c>
      <c r="B21" s="5" t="inlineStr">
        <is>
          <t>Data Governance and Privacy Policy for AI</t>
        </is>
      </c>
      <c r="C21" s="5" t="inlineStr">
        <is>
          <t>04 Operate - Lifecycle Controls</t>
        </is>
      </c>
      <c r="D21" s="5" t="inlineStr">
        <is>
          <t>docx</t>
        </is>
      </c>
      <c r="E21" s="5" t="inlineStr">
        <is>
          <t>[Data and ML Lead]</t>
        </is>
      </c>
      <c r="F21" s="5" t="inlineStr">
        <is>
          <t>2.0</t>
        </is>
      </c>
      <c r="G21" s="5" t="inlineStr">
        <is>
          <t>Approved</t>
        </is>
      </c>
      <c r="H21" s="5" t="inlineStr">
        <is>
          <t>2026-11-01</t>
        </is>
      </c>
      <c r="I21" s="5" t="inlineStr">
        <is>
          <t>2027-11-01</t>
        </is>
      </c>
      <c r="J21" s="5">
        <f>IF(I21="","",IF(DATEVALUE(I21)&lt;TODAY(),"Overdue","On track"))</f>
        <v/>
      </c>
    </row>
    <row r="22">
      <c r="A22" s="5" t="inlineStr">
        <is>
          <t>IMS-POL-004</t>
        </is>
      </c>
      <c r="B22" s="5" t="inlineStr">
        <is>
          <t>Access Control Policy</t>
        </is>
      </c>
      <c r="C22" s="5" t="inlineStr">
        <is>
          <t>04 Operate - Lifecycle Controls</t>
        </is>
      </c>
      <c r="D22" s="5" t="inlineStr">
        <is>
          <t>docx</t>
        </is>
      </c>
      <c r="E22" s="5" t="inlineStr">
        <is>
          <t>[Security Lead]</t>
        </is>
      </c>
      <c r="F22" s="5" t="inlineStr">
        <is>
          <t>2.0</t>
        </is>
      </c>
      <c r="G22" s="5" t="inlineStr">
        <is>
          <t>Approved</t>
        </is>
      </c>
      <c r="H22" s="5" t="inlineStr">
        <is>
          <t>2026-11-01</t>
        </is>
      </c>
      <c r="I22" s="5" t="inlineStr">
        <is>
          <t>2027-11-01</t>
        </is>
      </c>
      <c r="J22" s="5">
        <f>IF(I22="","",IF(DATEVALUE(I22)&lt;TODAY(),"Overdue","On track"))</f>
        <v/>
      </c>
    </row>
    <row r="23">
      <c r="A23" s="5" t="inlineStr">
        <is>
          <t>IMS-POL-005</t>
        </is>
      </c>
      <c r="B23" s="5" t="inlineStr">
        <is>
          <t>Acceptable Use Policy (including Generative AI)</t>
        </is>
      </c>
      <c r="C23" s="5" t="inlineStr">
        <is>
          <t>04 Operate - Lifecycle Controls</t>
        </is>
      </c>
      <c r="D23" s="5" t="inlineStr">
        <is>
          <t>docx</t>
        </is>
      </c>
      <c r="E23" s="5" t="inlineStr">
        <is>
          <t>[Security Lead]</t>
        </is>
      </c>
      <c r="F23" s="5" t="inlineStr">
        <is>
          <t>2.0</t>
        </is>
      </c>
      <c r="G23" s="5" t="inlineStr">
        <is>
          <t>Approved</t>
        </is>
      </c>
      <c r="H23" s="5" t="inlineStr">
        <is>
          <t>2026-11-01</t>
        </is>
      </c>
      <c r="I23" s="5" t="inlineStr">
        <is>
          <t>2027-11-01</t>
        </is>
      </c>
      <c r="J23" s="5">
        <f>IF(I23="","",IF(DATEVALUE(I23)&lt;TODAY(),"Overdue","On track"))</f>
        <v/>
      </c>
    </row>
    <row r="24">
      <c r="A24" s="5" t="inlineStr">
        <is>
          <t>IMS-POL-006</t>
        </is>
      </c>
      <c r="B24" s="5" t="inlineStr">
        <is>
          <t>Supplier and Third-Party AI Policy</t>
        </is>
      </c>
      <c r="C24" s="5" t="inlineStr">
        <is>
          <t>04 Operate - Lifecycle Controls</t>
        </is>
      </c>
      <c r="D24" s="5" t="inlineStr">
        <is>
          <t>docx</t>
        </is>
      </c>
      <c r="E24" s="5" t="inlineStr">
        <is>
          <t>[Privacy and Legal Lead]</t>
        </is>
      </c>
      <c r="F24" s="5" t="inlineStr">
        <is>
          <t>2.0</t>
        </is>
      </c>
      <c r="G24" s="5" t="inlineStr">
        <is>
          <t>Approved</t>
        </is>
      </c>
      <c r="H24" s="5" t="inlineStr">
        <is>
          <t>2026-11-01</t>
        </is>
      </c>
      <c r="I24" s="5" t="inlineStr">
        <is>
          <t>2027-11-01</t>
        </is>
      </c>
      <c r="J24" s="5">
        <f>IF(I24="","",IF(DATEVALUE(I24)&lt;TODAY(),"Overdue","On track"))</f>
        <v/>
      </c>
    </row>
    <row r="25">
      <c r="A25" s="5" t="inlineStr">
        <is>
          <t>IMS-PRO-005</t>
        </is>
      </c>
      <c r="B25" s="5" t="inlineStr">
        <is>
          <t>Incident Management Procedure (Security and AI Incidents)</t>
        </is>
      </c>
      <c r="C25" s="5" t="inlineStr">
        <is>
          <t>04 Operate - Lifecycle Controls</t>
        </is>
      </c>
      <c r="D25" s="5" t="inlineStr">
        <is>
          <t>docx</t>
        </is>
      </c>
      <c r="E25" s="5" t="inlineStr">
        <is>
          <t>[Security Lead]</t>
        </is>
      </c>
      <c r="F25" s="5" t="inlineStr">
        <is>
          <t>2.0</t>
        </is>
      </c>
      <c r="G25" s="5" t="inlineStr">
        <is>
          <t>Approved</t>
        </is>
      </c>
      <c r="H25" s="5" t="inlineStr">
        <is>
          <t>2026-11-01</t>
        </is>
      </c>
      <c r="I25" s="5" t="inlineStr">
        <is>
          <t>2027-11-01</t>
        </is>
      </c>
      <c r="J25" s="5">
        <f>IF(I25="","",IF(DATEVALUE(I25)&lt;TODAY(),"Overdue","On track"))</f>
        <v/>
      </c>
    </row>
    <row r="26">
      <c r="A26" s="5" t="inlineStr">
        <is>
          <t>IMS-PRO-006</t>
        </is>
      </c>
      <c r="B26" s="5" t="inlineStr">
        <is>
          <t>Business Continuity and ICT Readiness Plan</t>
        </is>
      </c>
      <c r="C26" s="5" t="inlineStr">
        <is>
          <t>04 Operate - Lifecycle Controls</t>
        </is>
      </c>
      <c r="D26" s="5" t="inlineStr">
        <is>
          <t>docx</t>
        </is>
      </c>
      <c r="E26" s="5" t="inlineStr">
        <is>
          <t>[Platform Engineer]</t>
        </is>
      </c>
      <c r="F26" s="5" t="inlineStr">
        <is>
          <t>2.0</t>
        </is>
      </c>
      <c r="G26" s="5" t="inlineStr">
        <is>
          <t>Approved</t>
        </is>
      </c>
      <c r="H26" s="5" t="inlineStr">
        <is>
          <t>2026-11-01</t>
        </is>
      </c>
      <c r="I26" s="5" t="inlineStr">
        <is>
          <t>2027-11-01</t>
        </is>
      </c>
      <c r="J26" s="5">
        <f>IF(I26="","",IF(DATEVALUE(I26)&lt;TODAY(),"Overdue","On track"))</f>
        <v/>
      </c>
    </row>
    <row r="27">
      <c r="A27" s="5" t="inlineStr">
        <is>
          <t>IMS-REG-005</t>
        </is>
      </c>
      <c r="B27" s="5" t="inlineStr">
        <is>
          <t>Asset and AI System Inventory</t>
        </is>
      </c>
      <c r="C27" s="5" t="inlineStr">
        <is>
          <t>04 Operate - Lifecycle Controls</t>
        </is>
      </c>
      <c r="D27" s="5" t="inlineStr">
        <is>
          <t>xlsx</t>
        </is>
      </c>
      <c r="E27" s="5" t="inlineStr">
        <is>
          <t>[Security Lead]</t>
        </is>
      </c>
      <c r="F27" s="5" t="inlineStr">
        <is>
          <t>2.0</t>
        </is>
      </c>
      <c r="G27" s="5" t="inlineStr">
        <is>
          <t>Approved</t>
        </is>
      </c>
      <c r="H27" s="5" t="inlineStr">
        <is>
          <t>2026-11-01</t>
        </is>
      </c>
      <c r="I27" s="5" t="inlineStr">
        <is>
          <t>2027-11-01</t>
        </is>
      </c>
      <c r="J27" s="5">
        <f>IF(I27="","",IF(DATEVALUE(I27)&lt;TODAY(),"Overdue","On track"))</f>
        <v/>
      </c>
    </row>
    <row r="28">
      <c r="A28" s="5" t="inlineStr">
        <is>
          <t>IMS-REG-006</t>
        </is>
      </c>
      <c r="B28" s="5" t="inlineStr">
        <is>
          <t>Incident and Event Log</t>
        </is>
      </c>
      <c r="C28" s="5" t="inlineStr">
        <is>
          <t>04 Operate - Lifecycle Controls</t>
        </is>
      </c>
      <c r="D28" s="5" t="inlineStr">
        <is>
          <t>xlsx</t>
        </is>
      </c>
      <c r="E28" s="5" t="inlineStr">
        <is>
          <t>[Security Lead]</t>
        </is>
      </c>
      <c r="F28" s="5" t="inlineStr">
        <is>
          <t>2.0</t>
        </is>
      </c>
      <c r="G28" s="5" t="inlineStr">
        <is>
          <t>Approved</t>
        </is>
      </c>
      <c r="H28" s="5" t="inlineStr">
        <is>
          <t>2026-11-01</t>
        </is>
      </c>
      <c r="I28" s="5" t="inlineStr">
        <is>
          <t>2027-11-01</t>
        </is>
      </c>
      <c r="J28" s="5">
        <f>IF(I28="","",IF(DATEVALUE(I28)&lt;TODAY(),"Overdue","On track"))</f>
        <v/>
      </c>
    </row>
    <row r="29">
      <c r="A29" s="5" t="inlineStr">
        <is>
          <t>IMS-PRO-007</t>
        </is>
      </c>
      <c r="B29" s="5" t="inlineStr">
        <is>
          <t>Internal Audit Procedure, Programme and Report Template</t>
        </is>
      </c>
      <c r="C29" s="5" t="inlineStr">
        <is>
          <t>05 Prove and Improve</t>
        </is>
      </c>
      <c r="D29" s="5" t="inlineStr">
        <is>
          <t>docx</t>
        </is>
      </c>
      <c r="E29" s="5" t="inlineStr">
        <is>
          <t>[Compliance Coordinator]</t>
        </is>
      </c>
      <c r="F29" s="5" t="inlineStr">
        <is>
          <t>2.0</t>
        </is>
      </c>
      <c r="G29" s="5" t="inlineStr">
        <is>
          <t>Approved</t>
        </is>
      </c>
      <c r="H29" s="5" t="inlineStr">
        <is>
          <t>2026-11-01</t>
        </is>
      </c>
      <c r="I29" s="5" t="inlineStr">
        <is>
          <t>2027-11-01</t>
        </is>
      </c>
      <c r="J29" s="5">
        <f>IF(I29="","",IF(DATEVALUE(I29)&lt;TODAY(),"Overdue","On track"))</f>
        <v/>
      </c>
    </row>
    <row r="30">
      <c r="A30" s="5" t="inlineStr">
        <is>
          <t>IMS-REG-007</t>
        </is>
      </c>
      <c r="B30" s="5" t="inlineStr">
        <is>
          <t>Internal Audit Programme and Checklist</t>
        </is>
      </c>
      <c r="C30" s="5" t="inlineStr">
        <is>
          <t>05 Prove and Improve</t>
        </is>
      </c>
      <c r="D30" s="5" t="inlineStr">
        <is>
          <t>xlsx</t>
        </is>
      </c>
      <c r="E30" s="5" t="inlineStr">
        <is>
          <t>[Compliance Coordinator]</t>
        </is>
      </c>
      <c r="F30" s="5" t="inlineStr">
        <is>
          <t>2.0</t>
        </is>
      </c>
      <c r="G30" s="5" t="inlineStr">
        <is>
          <t>Approved</t>
        </is>
      </c>
      <c r="H30" s="5" t="inlineStr">
        <is>
          <t>2026-11-01</t>
        </is>
      </c>
      <c r="I30" s="5" t="inlineStr">
        <is>
          <t>2027-11-01</t>
        </is>
      </c>
      <c r="J30" s="5">
        <f>IF(I30="","",IF(DATEVALUE(I30)&lt;TODAY(),"Overdue","On track"))</f>
        <v/>
      </c>
    </row>
    <row r="31">
      <c r="A31" s="5" t="inlineStr">
        <is>
          <t>IMS-PRO-008</t>
        </is>
      </c>
      <c r="B31" s="5" t="inlineStr">
        <is>
          <t>Management Review Procedure and Example Minutes</t>
        </is>
      </c>
      <c r="C31" s="5" t="inlineStr">
        <is>
          <t>05 Prove and Improve</t>
        </is>
      </c>
      <c r="D31" s="5" t="inlineStr">
        <is>
          <t>docx</t>
        </is>
      </c>
      <c r="E31" s="5" t="inlineStr">
        <is>
          <t>[CEO]</t>
        </is>
      </c>
      <c r="F31" s="5" t="inlineStr">
        <is>
          <t>2.0</t>
        </is>
      </c>
      <c r="G31" s="5" t="inlineStr">
        <is>
          <t>Approved</t>
        </is>
      </c>
      <c r="H31" s="5" t="inlineStr">
        <is>
          <t>2026-11-01</t>
        </is>
      </c>
      <c r="I31" s="5" t="inlineStr">
        <is>
          <t>2027-11-01</t>
        </is>
      </c>
      <c r="J31" s="5">
        <f>IF(I31="","",IF(DATEVALUE(I31)&lt;TODAY(),"Overdue","On track"))</f>
        <v/>
      </c>
    </row>
    <row r="32">
      <c r="A32" s="5" t="inlineStr">
        <is>
          <t>IMS-PRO-009</t>
        </is>
      </c>
      <c r="B32" s="5" t="inlineStr">
        <is>
          <t>Nonconformity, Corrective Action and Improvement Procedure</t>
        </is>
      </c>
      <c r="C32" s="5" t="inlineStr">
        <is>
          <t>05 Prove and Improve</t>
        </is>
      </c>
      <c r="D32" s="5" t="inlineStr">
        <is>
          <t>docx</t>
        </is>
      </c>
      <c r="E32" s="5" t="inlineStr">
        <is>
          <t>[Compliance Coordinator]</t>
        </is>
      </c>
      <c r="F32" s="5" t="inlineStr">
        <is>
          <t>2.0</t>
        </is>
      </c>
      <c r="G32" s="5" t="inlineStr">
        <is>
          <t>Approved</t>
        </is>
      </c>
      <c r="H32" s="5" t="inlineStr">
        <is>
          <t>2026-11-01</t>
        </is>
      </c>
      <c r="I32" s="5" t="inlineStr">
        <is>
          <t>2027-11-01</t>
        </is>
      </c>
      <c r="J32" s="5">
        <f>IF(I32="","",IF(DATEVALUE(I32)&lt;TODAY(),"Overdue","On track"))</f>
        <v/>
      </c>
    </row>
    <row r="33">
      <c r="A33" s="5" t="inlineStr">
        <is>
          <t>IMS-REG-008</t>
        </is>
      </c>
      <c r="B33" s="5" t="inlineStr">
        <is>
          <t>Nonconformity, Corrective Action and Improvement Log</t>
        </is>
      </c>
      <c r="C33" s="5" t="inlineStr">
        <is>
          <t>05 Prove and Improve</t>
        </is>
      </c>
      <c r="D33" s="5" t="inlineStr">
        <is>
          <t>xlsx</t>
        </is>
      </c>
      <c r="E33" s="5" t="inlineStr">
        <is>
          <t>[Compliance Coordinator]</t>
        </is>
      </c>
      <c r="F33" s="5" t="inlineStr">
        <is>
          <t>2.0</t>
        </is>
      </c>
      <c r="G33" s="5" t="inlineStr">
        <is>
          <t>Approved</t>
        </is>
      </c>
      <c r="H33" s="5" t="inlineStr">
        <is>
          <t>2026-11-01</t>
        </is>
      </c>
      <c r="I33" s="5" t="inlineStr">
        <is>
          <t>2027-11-01</t>
        </is>
      </c>
      <c r="J33" s="5">
        <f>IF(I33="","",IF(DATEVALUE(I33)&lt;TODAY(),"Overdue","On track"))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>
        <f>IF(I34="","",IF(DATEVALUE(I34)&lt;TODAY(),"Overdue","On track"))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>
        <f>IF(I35="","",IF(DATEVALUE(I35)&lt;TODAY(),"Overdue","On track"))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>
        <f>IF(I36="","",IF(DATEVALUE(I36)&lt;TODAY(),"Overdue","On track"))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>
        <f>IF(I37="","",IF(DATEVALUE(I37)&lt;TODAY(),"Overdue","On track"))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>
        <f>IF(I38="","",IF(DATEVALUE(I38)&lt;TODAY(),"Overdue","On track"))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>
        <f>IF(I39="","",IF(DATEVALUE(I39)&lt;TODAY(),"Overdue","On track"))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>
        <f>IF(I40="","",IF(DATEVALUE(I40)&lt;TODAY(),"Overdue","On track"))</f>
        <v/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>
        <f>IF(I41="","",IF(DATEVALUE(I41)&lt;TODAY(),"Overdue","On track"))</f>
        <v/>
      </c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>
        <f>IF(I42="","",IF(DATEVALUE(I42)&lt;TODAY(),"Overdue","On track"))</f>
        <v/>
      </c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>
        <f>IF(I43="","",IF(DATEVALUE(I43)&lt;TODAY(),"Overdue","On track"))</f>
        <v/>
      </c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>
        <f>IF(I44="","",IF(DATEVALUE(I44)&lt;TODAY(),"Overdue","On track"))</f>
        <v/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>
        <f>IF(I45="","",IF(DATEVALUE(I45)&lt;TODAY(),"Overdue","On track"))</f>
        <v/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>
        <f>IF(I46="","",IF(DATEVALUE(I46)&lt;TODAY(),"Overdue","On track"))</f>
        <v/>
      </c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>
        <f>IF(I47="","",IF(DATEVALUE(I47)&lt;TODAY(),"Overdue","On track"))</f>
        <v/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>
        <f>IF(I48="","",IF(DATEVALUE(I48)&lt;TODAY(),"Overdue","On track"))</f>
        <v/>
      </c>
    </row>
  </sheetData>
  <autoFilter ref="A4:J48"/>
  <mergeCells count="1">
    <mergeCell ref="A2:J2"/>
  </mergeCells>
  <conditionalFormatting sqref="J5:J48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1">
    <dataValidation sqref="G5:G48" showDropDown="0" showInputMessage="0" showErrorMessage="0" allowBlank="1" errorTitle="Invalid value" error="Pick a value from the list." type="list">
      <formula1>"Draft,In review,Approved,Obsolete"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Prof. Dr. Mohamed Fawzi Elgendi (Fawzooz)</dc:creator>
  <dc:title xmlns:dc="http://purl.org/dc/elements/1.1/">Starter Workbook — Gap Assessment, Roadmap, Crosswalk and Document Register</dc:title>
  <dcterms:created xmlns:dcterms="http://purl.org/dc/terms/" xmlns:xsi="http://www.w3.org/2001/XMLSchema-instance" xsi:type="dcterms:W3CDTF">2026-10-04T18:41:12Z</dcterms:created>
  <dcterms:modified xmlns:dcterms="http://purl.org/dc/terms/" xmlns:xsi="http://www.w3.org/2001/XMLSchema-instance" xsi:type="dcterms:W3CDTF">2026-10-04T18:41:12Z</dcterms:modified>
  <cp:lastModifiedBy>Prof. Dr. Mohamed Fawzi Elgendi (Fawzooz)</cp:lastModifiedBy>
</cp:coreProperties>
</file>